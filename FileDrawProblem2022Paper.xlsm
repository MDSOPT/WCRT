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FDocuments\FileDrawProblem\"/>
    </mc:Choice>
  </mc:AlternateContent>
  <xr:revisionPtr revIDLastSave="0" documentId="13_ncr:1_{1C6CDC30-E479-4D1E-9D05-B8DCBE7AC9B3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One-Sample" sheetId="1" r:id="rId1"/>
    <sheet name="Two-Sample" sheetId="2" r:id="rId2"/>
    <sheet name="Correlation" sheetId="3" r:id="rId3"/>
    <sheet name="PaperSummatedData" sheetId="5" r:id="rId4"/>
    <sheet name="CorrelationSummary" sheetId="7" r:id="rId5"/>
    <sheet name="Examplencurves" sheetId="6" r:id="rId6"/>
  </sheets>
  <functionGroups builtInGroupCount="19"/>
  <definedNames>
    <definedName name="solver_adj" localSheetId="2" hidden="1">Correlation!$K$3</definedName>
    <definedName name="solver_adj" localSheetId="0" hidden="1">'One-Sample'!#REF!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2</definedName>
    <definedName name="solver_eng" localSheetId="2" hidden="1">1</definedName>
    <definedName name="solver_eng" localSheetId="0" hidden="1">3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1" localSheetId="2" hidden="1">Correlation!$I$3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2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od" localSheetId="0" hidden="1">2147483647</definedName>
    <definedName name="solver_num" localSheetId="2" hidden="1">1</definedName>
    <definedName name="solver_num" localSheetId="0" hidden="1">1</definedName>
    <definedName name="solver_nwt" localSheetId="2" hidden="1">1</definedName>
    <definedName name="solver_nwt" localSheetId="0" hidden="1">1</definedName>
    <definedName name="solver_opt" localSheetId="2" hidden="1">Correlation!#REF!</definedName>
    <definedName name="solver_opt" localSheetId="0" hidden="1">'One-Sample'!#REF!</definedName>
    <definedName name="solver_pre" localSheetId="2" hidden="1">0.000001</definedName>
    <definedName name="solver_pre" localSheetId="0" hidden="1">0.000001</definedName>
    <definedName name="solver_rbv" localSheetId="2" hidden="1">1</definedName>
    <definedName name="solver_rbv" localSheetId="0" hidden="1">2</definedName>
    <definedName name="solver_rel1" localSheetId="2" hidden="1">3</definedName>
    <definedName name="solver_rhs1" localSheetId="2" hidden="1">0</definedName>
    <definedName name="solver_rlx" localSheetId="2" hidden="1">2</definedName>
    <definedName name="solver_rlx" localSheetId="0" hidden="1">2</definedName>
    <definedName name="solver_rsd" localSheetId="2" hidden="1">0</definedName>
    <definedName name="solver_rsd" localSheetId="0" hidden="1">0</definedName>
    <definedName name="solver_scl" localSheetId="2" hidden="1">1</definedName>
    <definedName name="solver_scl" localSheetId="0" hidden="1">2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2</definedName>
    <definedName name="solver_typ" localSheetId="0" hidden="1">2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0" i="3" l="1"/>
  <c r="I100" i="3"/>
  <c r="H100" i="3"/>
  <c r="K99" i="3"/>
  <c r="I99" i="3"/>
  <c r="H99" i="3"/>
  <c r="K98" i="3"/>
  <c r="I98" i="3"/>
  <c r="H98" i="3"/>
  <c r="K97" i="3"/>
  <c r="I97" i="3"/>
  <c r="H97" i="3"/>
  <c r="K96" i="3"/>
  <c r="I96" i="3"/>
  <c r="H96" i="3"/>
  <c r="K95" i="3"/>
  <c r="I95" i="3"/>
  <c r="H95" i="3"/>
  <c r="K94" i="3"/>
  <c r="I94" i="3"/>
  <c r="H94" i="3"/>
  <c r="K93" i="3"/>
  <c r="I93" i="3"/>
  <c r="H93" i="3"/>
  <c r="K92" i="3"/>
  <c r="I92" i="3"/>
  <c r="H92" i="3"/>
  <c r="K91" i="3"/>
  <c r="I91" i="3"/>
  <c r="H91" i="3"/>
  <c r="K90" i="3"/>
  <c r="I90" i="3"/>
  <c r="H90" i="3"/>
  <c r="K89" i="3"/>
  <c r="I89" i="3"/>
  <c r="H89" i="3"/>
  <c r="K88" i="3"/>
  <c r="I88" i="3"/>
  <c r="H88" i="3"/>
  <c r="K87" i="3"/>
  <c r="I87" i="3"/>
  <c r="H87" i="3"/>
  <c r="K86" i="3"/>
  <c r="I86" i="3"/>
  <c r="H86" i="3"/>
  <c r="K85" i="3"/>
  <c r="I85" i="3"/>
  <c r="H85" i="3"/>
  <c r="K84" i="3"/>
  <c r="I84" i="3"/>
  <c r="H84" i="3"/>
  <c r="K83" i="3"/>
  <c r="I83" i="3"/>
  <c r="H83" i="3"/>
  <c r="K82" i="3"/>
  <c r="I82" i="3"/>
  <c r="H82" i="3"/>
  <c r="K81" i="3"/>
  <c r="I81" i="3"/>
  <c r="H81" i="3"/>
  <c r="K80" i="3"/>
  <c r="I80" i="3"/>
  <c r="H80" i="3"/>
  <c r="K79" i="3"/>
  <c r="I79" i="3"/>
  <c r="H79" i="3"/>
  <c r="K78" i="3"/>
  <c r="I78" i="3"/>
  <c r="H78" i="3"/>
  <c r="K77" i="3"/>
  <c r="I77" i="3"/>
  <c r="H77" i="3"/>
  <c r="K76" i="3"/>
  <c r="I76" i="3"/>
  <c r="H76" i="3"/>
  <c r="K75" i="3"/>
  <c r="I75" i="3"/>
  <c r="H75" i="3"/>
  <c r="K74" i="3"/>
  <c r="I74" i="3"/>
  <c r="H74" i="3"/>
  <c r="K73" i="3"/>
  <c r="I73" i="3"/>
  <c r="H73" i="3"/>
  <c r="K72" i="3"/>
  <c r="I72" i="3"/>
  <c r="H72" i="3"/>
  <c r="K71" i="3"/>
  <c r="I71" i="3"/>
  <c r="H71" i="3"/>
  <c r="K70" i="3"/>
  <c r="I70" i="3"/>
  <c r="H70" i="3"/>
  <c r="K69" i="3"/>
  <c r="I69" i="3"/>
  <c r="H69" i="3"/>
  <c r="K68" i="3"/>
  <c r="I68" i="3"/>
  <c r="H68" i="3"/>
  <c r="K67" i="3"/>
  <c r="I67" i="3"/>
  <c r="H67" i="3"/>
  <c r="K66" i="3"/>
  <c r="I66" i="3"/>
  <c r="H66" i="3"/>
  <c r="K65" i="3"/>
  <c r="I65" i="3"/>
  <c r="H65" i="3"/>
  <c r="K64" i="3"/>
  <c r="I64" i="3"/>
  <c r="H64" i="3"/>
  <c r="K63" i="3"/>
  <c r="I63" i="3"/>
  <c r="H63" i="3"/>
  <c r="K62" i="3"/>
  <c r="I62" i="3"/>
  <c r="H62" i="3"/>
  <c r="K61" i="3"/>
  <c r="I61" i="3"/>
  <c r="H61" i="3"/>
  <c r="K60" i="3"/>
  <c r="I60" i="3"/>
  <c r="H60" i="3"/>
  <c r="K59" i="3"/>
  <c r="I59" i="3"/>
  <c r="H59" i="3"/>
  <c r="K58" i="3"/>
  <c r="I58" i="3"/>
  <c r="H58" i="3"/>
  <c r="K57" i="3"/>
  <c r="I57" i="3"/>
  <c r="H57" i="3"/>
  <c r="K56" i="3"/>
  <c r="I56" i="3"/>
  <c r="H56" i="3"/>
  <c r="K55" i="3"/>
  <c r="I55" i="3"/>
  <c r="H55" i="3"/>
  <c r="K54" i="3"/>
  <c r="I54" i="3"/>
  <c r="H54" i="3"/>
  <c r="K53" i="3"/>
  <c r="I53" i="3"/>
  <c r="H53" i="3"/>
  <c r="K52" i="3"/>
  <c r="I52" i="3"/>
  <c r="H52" i="3"/>
  <c r="K51" i="3"/>
  <c r="I51" i="3"/>
  <c r="H51" i="3"/>
  <c r="K50" i="3"/>
  <c r="I50" i="3"/>
  <c r="H50" i="3"/>
  <c r="K49" i="3"/>
  <c r="I49" i="3"/>
  <c r="H49" i="3"/>
  <c r="K48" i="3"/>
  <c r="I48" i="3"/>
  <c r="H48" i="3"/>
  <c r="K47" i="3"/>
  <c r="I47" i="3"/>
  <c r="H47" i="3"/>
  <c r="K46" i="3"/>
  <c r="I46" i="3"/>
  <c r="H46" i="3"/>
  <c r="K45" i="3"/>
  <c r="I45" i="3"/>
  <c r="H45" i="3"/>
  <c r="K44" i="3"/>
  <c r="I44" i="3"/>
  <c r="H44" i="3"/>
  <c r="K43" i="3"/>
  <c r="I43" i="3"/>
  <c r="H43" i="3"/>
  <c r="K42" i="3"/>
  <c r="I42" i="3"/>
  <c r="H42" i="3"/>
  <c r="K41" i="3"/>
  <c r="I41" i="3"/>
  <c r="H41" i="3"/>
  <c r="K40" i="3"/>
  <c r="I40" i="3"/>
  <c r="H40" i="3"/>
  <c r="K39" i="3"/>
  <c r="I39" i="3"/>
  <c r="H39" i="3"/>
  <c r="K38" i="3"/>
  <c r="I38" i="3"/>
  <c r="H38" i="3"/>
  <c r="K37" i="3"/>
  <c r="I37" i="3"/>
  <c r="H37" i="3"/>
  <c r="K36" i="3"/>
  <c r="I36" i="3"/>
  <c r="H36" i="3"/>
  <c r="K35" i="3"/>
  <c r="I35" i="3"/>
  <c r="H35" i="3"/>
  <c r="K34" i="3"/>
  <c r="I34" i="3"/>
  <c r="H34" i="3"/>
  <c r="K33" i="3"/>
  <c r="I33" i="3"/>
  <c r="H33" i="3"/>
  <c r="K32" i="3"/>
  <c r="I32" i="3"/>
  <c r="H32" i="3"/>
  <c r="K31" i="3"/>
  <c r="I31" i="3"/>
  <c r="H31" i="3"/>
  <c r="K30" i="3"/>
  <c r="I30" i="3"/>
  <c r="H30" i="3"/>
  <c r="K29" i="3"/>
  <c r="I29" i="3"/>
  <c r="H29" i="3"/>
  <c r="K28" i="3"/>
  <c r="I28" i="3"/>
  <c r="H28" i="3"/>
  <c r="K27" i="3"/>
  <c r="I27" i="3"/>
  <c r="H27" i="3"/>
  <c r="K26" i="3"/>
  <c r="I26" i="3"/>
  <c r="H26" i="3"/>
  <c r="K25" i="3"/>
  <c r="I25" i="3"/>
  <c r="H25" i="3"/>
  <c r="K24" i="3"/>
  <c r="I24" i="3"/>
  <c r="H24" i="3"/>
  <c r="K23" i="3"/>
  <c r="I23" i="3"/>
  <c r="H23" i="3"/>
  <c r="K22" i="3"/>
  <c r="I22" i="3"/>
  <c r="H22" i="3"/>
  <c r="K21" i="3"/>
  <c r="I21" i="3"/>
  <c r="H21" i="3"/>
  <c r="K20" i="3"/>
  <c r="I20" i="3"/>
  <c r="H20" i="3"/>
  <c r="K19" i="3"/>
  <c r="I19" i="3"/>
  <c r="H19" i="3"/>
  <c r="K18" i="3"/>
  <c r="I18" i="3"/>
  <c r="H18" i="3"/>
  <c r="K17" i="3"/>
  <c r="I17" i="3"/>
  <c r="H17" i="3"/>
  <c r="K16" i="3"/>
  <c r="I16" i="3"/>
  <c r="H16" i="3"/>
  <c r="K15" i="3"/>
  <c r="I15" i="3"/>
  <c r="H15" i="3"/>
  <c r="K14" i="3"/>
  <c r="I14" i="3"/>
  <c r="H14" i="3"/>
  <c r="K13" i="3"/>
  <c r="I13" i="3"/>
  <c r="H13" i="3"/>
  <c r="K12" i="3"/>
  <c r="I12" i="3"/>
  <c r="H12" i="3"/>
  <c r="K11" i="3"/>
  <c r="I11" i="3"/>
  <c r="H11" i="3"/>
  <c r="K10" i="3"/>
  <c r="I10" i="3"/>
  <c r="H10" i="3"/>
  <c r="K9" i="3"/>
  <c r="I9" i="3"/>
  <c r="H9" i="3"/>
  <c r="K8" i="3"/>
  <c r="I8" i="3"/>
  <c r="H8" i="3"/>
  <c r="K7" i="3"/>
  <c r="I7" i="3"/>
  <c r="H7" i="3"/>
  <c r="K6" i="3"/>
  <c r="I6" i="3"/>
  <c r="H6" i="3"/>
  <c r="K5" i="3"/>
  <c r="I5" i="3"/>
  <c r="H5" i="3"/>
  <c r="K4" i="3"/>
  <c r="I4" i="3"/>
  <c r="H4" i="3"/>
  <c r="K3" i="3"/>
  <c r="I3" i="3"/>
  <c r="H3" i="3"/>
  <c r="K2" i="3"/>
  <c r="I2" i="3"/>
  <c r="H2" i="3"/>
  <c r="B10" i="3"/>
  <c r="B13" i="3" l="1"/>
  <c r="B12" i="3"/>
  <c r="B7" i="3"/>
  <c r="B6" i="3"/>
  <c r="B9" i="3"/>
  <c r="P1" i="3"/>
  <c r="H2" i="1"/>
  <c r="B4" i="3"/>
  <c r="B13" i="2"/>
  <c r="T21" i="2" s="1"/>
  <c r="B10" i="2"/>
  <c r="S35" i="2" s="1"/>
  <c r="S45" i="2"/>
  <c r="S42" i="2"/>
  <c r="S41" i="2"/>
  <c r="S40" i="2"/>
  <c r="S37" i="2"/>
  <c r="S36" i="2"/>
  <c r="S34" i="2"/>
  <c r="S33" i="2"/>
  <c r="S32" i="2"/>
  <c r="S29" i="2"/>
  <c r="S28" i="2"/>
  <c r="S27" i="2"/>
  <c r="S25" i="2"/>
  <c r="S24" i="2"/>
  <c r="S23" i="2"/>
  <c r="S22" i="2"/>
  <c r="S21" i="2"/>
  <c r="S20" i="2"/>
  <c r="S19" i="2"/>
  <c r="S18" i="2"/>
  <c r="S17" i="2"/>
  <c r="S15" i="2"/>
  <c r="K15" i="2"/>
  <c r="S14" i="2"/>
  <c r="T12" i="2"/>
  <c r="S11" i="2"/>
  <c r="S9" i="2"/>
  <c r="S8" i="2"/>
  <c r="S7" i="2"/>
  <c r="S5" i="2"/>
  <c r="S4" i="2"/>
  <c r="S3" i="2"/>
  <c r="B9" i="2"/>
  <c r="B9" i="1"/>
  <c r="H15" i="1" s="1"/>
  <c r="B8" i="1"/>
  <c r="B16" i="1" s="1"/>
  <c r="B7" i="1"/>
  <c r="H39" i="1" s="1"/>
  <c r="B8" i="2"/>
  <c r="J45" i="2" s="1"/>
  <c r="B11" i="2"/>
  <c r="B12" i="2"/>
  <c r="B5" i="2"/>
  <c r="B5" i="1"/>
  <c r="B29" i="2"/>
  <c r="B18" i="1"/>
  <c r="B6" i="2" l="1"/>
  <c r="J43" i="2"/>
  <c r="S2" i="2"/>
  <c r="S6" i="2"/>
  <c r="T10" i="2"/>
  <c r="S13" i="2"/>
  <c r="O13" i="2" s="1"/>
  <c r="T16" i="2"/>
  <c r="K23" i="2"/>
  <c r="S26" i="2"/>
  <c r="S30" i="2"/>
  <c r="S38" i="2"/>
  <c r="S43" i="2"/>
  <c r="T2" i="2"/>
  <c r="T6" i="2"/>
  <c r="T13" i="2"/>
  <c r="I19" i="2"/>
  <c r="T3" i="2"/>
  <c r="M3" i="2" s="1"/>
  <c r="T7" i="2"/>
  <c r="S10" i="2"/>
  <c r="O10" i="2" s="1"/>
  <c r="O14" i="2"/>
  <c r="S16" i="2"/>
  <c r="O16" i="2" s="1"/>
  <c r="T19" i="2"/>
  <c r="O19" i="2" s="1"/>
  <c r="T23" i="2"/>
  <c r="S31" i="2"/>
  <c r="S39" i="2"/>
  <c r="S44" i="2"/>
  <c r="O21" i="2"/>
  <c r="T25" i="2"/>
  <c r="O25" i="2" s="1"/>
  <c r="T29" i="2"/>
  <c r="T27" i="2"/>
  <c r="O27" i="2" s="1"/>
  <c r="T14" i="2"/>
  <c r="T4" i="2"/>
  <c r="O4" i="2" s="1"/>
  <c r="T8" i="2"/>
  <c r="O8" i="2" s="1"/>
  <c r="K12" i="2"/>
  <c r="T17" i="2"/>
  <c r="O17" i="2" s="1"/>
  <c r="J24" i="2"/>
  <c r="I41" i="2"/>
  <c r="T5" i="2"/>
  <c r="T9" i="2"/>
  <c r="O9" i="2" s="1"/>
  <c r="S12" i="2"/>
  <c r="O12" i="2" s="1"/>
  <c r="T15" i="2"/>
  <c r="T18" i="2"/>
  <c r="O18" i="2" s="1"/>
  <c r="I25" i="2"/>
  <c r="O29" i="2"/>
  <c r="J42" i="2"/>
  <c r="J2" i="2"/>
  <c r="B11" i="3"/>
  <c r="B18" i="2"/>
  <c r="B26" i="2"/>
  <c r="O7" i="2"/>
  <c r="O5" i="2"/>
  <c r="O15" i="2"/>
  <c r="B14" i="2"/>
  <c r="I4" i="2"/>
  <c r="I8" i="2"/>
  <c r="I13" i="2"/>
  <c r="J19" i="2"/>
  <c r="B15" i="2"/>
  <c r="B16" i="2" s="1"/>
  <c r="B10" i="1"/>
  <c r="B11" i="1" s="1"/>
  <c r="B7" i="2"/>
  <c r="I40" i="1"/>
  <c r="J40" i="1" s="1"/>
  <c r="L40" i="1" s="1"/>
  <c r="I38" i="1"/>
  <c r="J38" i="1" s="1"/>
  <c r="L38" i="1" s="1"/>
  <c r="I36" i="1"/>
  <c r="J36" i="1" s="1"/>
  <c r="L36" i="1" s="1"/>
  <c r="I34" i="1"/>
  <c r="J34" i="1" s="1"/>
  <c r="L34" i="1" s="1"/>
  <c r="I32" i="1"/>
  <c r="J32" i="1" s="1"/>
  <c r="L32" i="1" s="1"/>
  <c r="I30" i="1"/>
  <c r="J30" i="1" s="1"/>
  <c r="L30" i="1" s="1"/>
  <c r="I28" i="1"/>
  <c r="J28" i="1" s="1"/>
  <c r="L28" i="1" s="1"/>
  <c r="I26" i="1"/>
  <c r="J26" i="1" s="1"/>
  <c r="L26" i="1" s="1"/>
  <c r="I24" i="1"/>
  <c r="J24" i="1" s="1"/>
  <c r="L24" i="1" s="1"/>
  <c r="I22" i="1"/>
  <c r="J22" i="1" s="1"/>
  <c r="L22" i="1" s="1"/>
  <c r="I20" i="1"/>
  <c r="J20" i="1" s="1"/>
  <c r="L20" i="1" s="1"/>
  <c r="I18" i="1"/>
  <c r="J18" i="1" s="1"/>
  <c r="L18" i="1" s="1"/>
  <c r="I16" i="1"/>
  <c r="J16" i="1" s="1"/>
  <c r="L16" i="1" s="1"/>
  <c r="I14" i="1"/>
  <c r="J14" i="1" s="1"/>
  <c r="L14" i="1" s="1"/>
  <c r="I12" i="1"/>
  <c r="J12" i="1" s="1"/>
  <c r="L12" i="1" s="1"/>
  <c r="I10" i="1"/>
  <c r="J10" i="1" s="1"/>
  <c r="L10" i="1" s="1"/>
  <c r="I8" i="1"/>
  <c r="J8" i="1" s="1"/>
  <c r="L8" i="1" s="1"/>
  <c r="I6" i="1"/>
  <c r="J6" i="1" s="1"/>
  <c r="L6" i="1" s="1"/>
  <c r="I4" i="1"/>
  <c r="J4" i="1" s="1"/>
  <c r="L4" i="1" s="1"/>
  <c r="I2" i="1"/>
  <c r="J2" i="1" s="1"/>
  <c r="L2" i="1" s="1"/>
  <c r="H40" i="1"/>
  <c r="H38" i="1"/>
  <c r="H36" i="1"/>
  <c r="H34" i="1"/>
  <c r="H32" i="1"/>
  <c r="H30" i="1"/>
  <c r="H28" i="1"/>
  <c r="H26" i="1"/>
  <c r="H24" i="1"/>
  <c r="H22" i="1"/>
  <c r="H20" i="1"/>
  <c r="H18" i="1"/>
  <c r="I41" i="1"/>
  <c r="J41" i="1" s="1"/>
  <c r="L41" i="1" s="1"/>
  <c r="I39" i="1"/>
  <c r="J39" i="1" s="1"/>
  <c r="L39" i="1" s="1"/>
  <c r="I37" i="1"/>
  <c r="J37" i="1" s="1"/>
  <c r="L37" i="1" s="1"/>
  <c r="I35" i="1"/>
  <c r="J35" i="1" s="1"/>
  <c r="L35" i="1" s="1"/>
  <c r="I33" i="1"/>
  <c r="J33" i="1" s="1"/>
  <c r="L33" i="1" s="1"/>
  <c r="I31" i="1"/>
  <c r="J31" i="1" s="1"/>
  <c r="L31" i="1" s="1"/>
  <c r="I29" i="1"/>
  <c r="J29" i="1" s="1"/>
  <c r="L29" i="1" s="1"/>
  <c r="I27" i="1"/>
  <c r="J27" i="1" s="1"/>
  <c r="L27" i="1" s="1"/>
  <c r="I25" i="1"/>
  <c r="J25" i="1" s="1"/>
  <c r="L25" i="1" s="1"/>
  <c r="I23" i="1"/>
  <c r="J23" i="1" s="1"/>
  <c r="L23" i="1" s="1"/>
  <c r="I21" i="1"/>
  <c r="J21" i="1" s="1"/>
  <c r="L21" i="1" s="1"/>
  <c r="I19" i="1"/>
  <c r="J19" i="1" s="1"/>
  <c r="L19" i="1" s="1"/>
  <c r="I17" i="1"/>
  <c r="J17" i="1" s="1"/>
  <c r="L17" i="1" s="1"/>
  <c r="I15" i="1"/>
  <c r="J15" i="1" s="1"/>
  <c r="L15" i="1" s="1"/>
  <c r="I13" i="1"/>
  <c r="J13" i="1" s="1"/>
  <c r="L13" i="1" s="1"/>
  <c r="I11" i="1"/>
  <c r="J11" i="1" s="1"/>
  <c r="L11" i="1" s="1"/>
  <c r="I9" i="1"/>
  <c r="J9" i="1" s="1"/>
  <c r="L9" i="1" s="1"/>
  <c r="I7" i="1"/>
  <c r="J7" i="1" s="1"/>
  <c r="L7" i="1" s="1"/>
  <c r="I5" i="1"/>
  <c r="J5" i="1" s="1"/>
  <c r="L5" i="1" s="1"/>
  <c r="I3" i="1"/>
  <c r="J3" i="1" s="1"/>
  <c r="L3" i="1" s="1"/>
  <c r="J3" i="2"/>
  <c r="J5" i="2"/>
  <c r="J7" i="2"/>
  <c r="J9" i="2"/>
  <c r="K11" i="2"/>
  <c r="I15" i="2"/>
  <c r="J18" i="2"/>
  <c r="K21" i="2"/>
  <c r="J22" i="2"/>
  <c r="I23" i="2"/>
  <c r="K29" i="2"/>
  <c r="J30" i="2"/>
  <c r="J31" i="2"/>
  <c r="I45" i="2"/>
  <c r="L45" i="2" s="1"/>
  <c r="H11" i="1"/>
  <c r="H14" i="1"/>
  <c r="K3" i="2"/>
  <c r="K5" i="2"/>
  <c r="K7" i="2"/>
  <c r="K9" i="2"/>
  <c r="J12" i="2"/>
  <c r="J15" i="2"/>
  <c r="K18" i="2"/>
  <c r="J23" i="2"/>
  <c r="I43" i="2"/>
  <c r="J44" i="2"/>
  <c r="T44" i="2"/>
  <c r="M44" i="2" s="1"/>
  <c r="T42" i="2"/>
  <c r="T40" i="2"/>
  <c r="O40" i="2" s="1"/>
  <c r="T38" i="2"/>
  <c r="O38" i="2" s="1"/>
  <c r="T36" i="2"/>
  <c r="O36" i="2" s="1"/>
  <c r="T34" i="2"/>
  <c r="O34" i="2" s="1"/>
  <c r="T32" i="2"/>
  <c r="O32" i="2" s="1"/>
  <c r="T30" i="2"/>
  <c r="O30" i="2" s="1"/>
  <c r="T28" i="2"/>
  <c r="O28" i="2" s="1"/>
  <c r="T26" i="2"/>
  <c r="O26" i="2" s="1"/>
  <c r="T24" i="2"/>
  <c r="O24" i="2" s="1"/>
  <c r="T22" i="2"/>
  <c r="O22" i="2" s="1"/>
  <c r="T20" i="2"/>
  <c r="T45" i="2"/>
  <c r="O45" i="2" s="1"/>
  <c r="T43" i="2"/>
  <c r="T41" i="2"/>
  <c r="O41" i="2" s="1"/>
  <c r="T39" i="2"/>
  <c r="O39" i="2" s="1"/>
  <c r="T37" i="2"/>
  <c r="O37" i="2" s="1"/>
  <c r="T35" i="2"/>
  <c r="O35" i="2" s="1"/>
  <c r="T33" i="2"/>
  <c r="T31" i="2"/>
  <c r="O31" i="2" s="1"/>
  <c r="H5" i="1"/>
  <c r="H8" i="1"/>
  <c r="I39" i="2"/>
  <c r="J40" i="2"/>
  <c r="J41" i="2"/>
  <c r="I2" i="2"/>
  <c r="L2" i="2" s="1"/>
  <c r="N2" i="2" s="1"/>
  <c r="P2" i="2" s="1"/>
  <c r="H9" i="1"/>
  <c r="H12" i="1"/>
  <c r="H19" i="1"/>
  <c r="H23" i="1"/>
  <c r="H27" i="1"/>
  <c r="H31" i="1"/>
  <c r="H35" i="1"/>
  <c r="B16" i="3"/>
  <c r="B14" i="3"/>
  <c r="K44" i="2"/>
  <c r="K42" i="2"/>
  <c r="K40" i="2"/>
  <c r="K38" i="2"/>
  <c r="K36" i="2"/>
  <c r="K34" i="2"/>
  <c r="K32" i="2"/>
  <c r="K30" i="2"/>
  <c r="K28" i="2"/>
  <c r="K26" i="2"/>
  <c r="K24" i="2"/>
  <c r="K22" i="2"/>
  <c r="I44" i="2"/>
  <c r="I42" i="2"/>
  <c r="I40" i="2"/>
  <c r="I38" i="2"/>
  <c r="I36" i="2"/>
  <c r="I34" i="2"/>
  <c r="I32" i="2"/>
  <c r="I30" i="2"/>
  <c r="I28" i="2"/>
  <c r="I26" i="2"/>
  <c r="I24" i="2"/>
  <c r="I22" i="2"/>
  <c r="I20" i="2"/>
  <c r="I18" i="2"/>
  <c r="I16" i="2"/>
  <c r="I14" i="2"/>
  <c r="L14" i="2" s="1"/>
  <c r="I12" i="2"/>
  <c r="K45" i="2"/>
  <c r="K43" i="2"/>
  <c r="K41" i="2"/>
  <c r="K39" i="2"/>
  <c r="K37" i="2"/>
  <c r="K35" i="2"/>
  <c r="K33" i="2"/>
  <c r="K31" i="2"/>
  <c r="J4" i="2"/>
  <c r="J6" i="2"/>
  <c r="J8" i="2"/>
  <c r="J10" i="2"/>
  <c r="J13" i="2"/>
  <c r="M13" i="2" s="1"/>
  <c r="K16" i="2"/>
  <c r="K19" i="2"/>
  <c r="K25" i="2"/>
  <c r="J26" i="2"/>
  <c r="I27" i="2"/>
  <c r="I37" i="2"/>
  <c r="J38" i="2"/>
  <c r="J39" i="2"/>
  <c r="K2" i="2"/>
  <c r="H3" i="1"/>
  <c r="H6" i="1"/>
  <c r="I6" i="2"/>
  <c r="B25" i="2"/>
  <c r="L33" i="2" s="1"/>
  <c r="K6" i="2"/>
  <c r="I17" i="2"/>
  <c r="L17" i="2" s="1"/>
  <c r="J20" i="2"/>
  <c r="J36" i="2"/>
  <c r="H13" i="1"/>
  <c r="H16" i="1"/>
  <c r="J16" i="2"/>
  <c r="M16" i="2" s="1"/>
  <c r="J25" i="2"/>
  <c r="K4" i="2"/>
  <c r="K13" i="2"/>
  <c r="J27" i="2"/>
  <c r="I11" i="2"/>
  <c r="J14" i="2"/>
  <c r="M14" i="2" s="1"/>
  <c r="J17" i="2"/>
  <c r="M17" i="2" s="1"/>
  <c r="K20" i="2"/>
  <c r="I21" i="2"/>
  <c r="K27" i="2"/>
  <c r="J28" i="2"/>
  <c r="I29" i="2"/>
  <c r="I33" i="2"/>
  <c r="J34" i="2"/>
  <c r="J35" i="2"/>
  <c r="M41" i="2"/>
  <c r="M42" i="2"/>
  <c r="L43" i="2"/>
  <c r="M2" i="2"/>
  <c r="H7" i="1"/>
  <c r="H10" i="1"/>
  <c r="L4" i="2"/>
  <c r="I10" i="2"/>
  <c r="K8" i="2"/>
  <c r="K10" i="2"/>
  <c r="I35" i="2"/>
  <c r="J37" i="2"/>
  <c r="B6" i="1"/>
  <c r="I3" i="2"/>
  <c r="I5" i="2"/>
  <c r="L5" i="2" s="1"/>
  <c r="I7" i="2"/>
  <c r="L7" i="2"/>
  <c r="I9" i="2"/>
  <c r="J11" i="2"/>
  <c r="T11" i="2"/>
  <c r="O11" i="2" s="1"/>
  <c r="M12" i="2"/>
  <c r="K14" i="2"/>
  <c r="K17" i="2"/>
  <c r="J21" i="2"/>
  <c r="O23" i="2"/>
  <c r="M24" i="2"/>
  <c r="M25" i="2"/>
  <c r="J29" i="2"/>
  <c r="I31" i="2"/>
  <c r="J32" i="2"/>
  <c r="J33" i="2"/>
  <c r="M39" i="2"/>
  <c r="M40" i="2"/>
  <c r="O42" i="2"/>
  <c r="B8" i="3"/>
  <c r="H4" i="1"/>
  <c r="H17" i="1"/>
  <c r="H21" i="1"/>
  <c r="H25" i="1"/>
  <c r="H29" i="1"/>
  <c r="H33" i="1"/>
  <c r="H37" i="1"/>
  <c r="H41" i="1"/>
  <c r="B15" i="3"/>
  <c r="B17" i="3" l="1"/>
  <c r="B18" i="3" s="1"/>
  <c r="M20" i="2"/>
  <c r="L30" i="2"/>
  <c r="L25" i="2"/>
  <c r="N25" i="2" s="1"/>
  <c r="P25" i="2" s="1"/>
  <c r="Q25" i="2" s="1"/>
  <c r="U25" i="2" s="1"/>
  <c r="L39" i="2"/>
  <c r="O3" i="2"/>
  <c r="M33" i="2"/>
  <c r="L41" i="2"/>
  <c r="L21" i="2"/>
  <c r="O44" i="2"/>
  <c r="M28" i="2"/>
  <c r="L8" i="2"/>
  <c r="L15" i="2"/>
  <c r="O6" i="2"/>
  <c r="L11" i="2"/>
  <c r="L31" i="2"/>
  <c r="L18" i="2"/>
  <c r="L34" i="2"/>
  <c r="O43" i="2"/>
  <c r="M32" i="2"/>
  <c r="O2" i="2"/>
  <c r="Q2" i="2" s="1"/>
  <c r="U2" i="2" s="1"/>
  <c r="N33" i="2"/>
  <c r="P33" i="2" s="1"/>
  <c r="N34" i="2"/>
  <c r="P34" i="2" s="1"/>
  <c r="Q34" i="2" s="1"/>
  <c r="U34" i="2" s="1"/>
  <c r="N14" i="2"/>
  <c r="P14" i="2" s="1"/>
  <c r="Q14" i="2" s="1"/>
  <c r="U14" i="2" s="1"/>
  <c r="N39" i="2"/>
  <c r="P39" i="2" s="1"/>
  <c r="Q39" i="2" s="1"/>
  <c r="U39" i="2" s="1"/>
  <c r="M38" i="2"/>
  <c r="M22" i="2"/>
  <c r="M34" i="2"/>
  <c r="L37" i="2"/>
  <c r="L16" i="2"/>
  <c r="N16" i="2" s="1"/>
  <c r="P16" i="2" s="1"/>
  <c r="Q16" i="2" s="1"/>
  <c r="U16" i="2" s="1"/>
  <c r="L32" i="2"/>
  <c r="O33" i="2"/>
  <c r="Q33" i="2" s="1"/>
  <c r="U33" i="2" s="1"/>
  <c r="M11" i="2"/>
  <c r="N11" i="2" s="1"/>
  <c r="P11" i="2" s="1"/>
  <c r="Q11" i="2" s="1"/>
  <c r="U11" i="2" s="1"/>
  <c r="M43" i="2"/>
  <c r="N43" i="2" s="1"/>
  <c r="P43" i="2" s="1"/>
  <c r="M6" i="2"/>
  <c r="M4" i="2"/>
  <c r="N4" i="2" s="1"/>
  <c r="P4" i="2" s="1"/>
  <c r="Q4" i="2" s="1"/>
  <c r="U4" i="2" s="1"/>
  <c r="B22" i="2"/>
  <c r="B20" i="2"/>
  <c r="M45" i="2"/>
  <c r="N45" i="2" s="1"/>
  <c r="P45" i="2" s="1"/>
  <c r="Q45" i="2" s="1"/>
  <c r="U45" i="2" s="1"/>
  <c r="L29" i="2"/>
  <c r="N29" i="2" s="1"/>
  <c r="P29" i="2" s="1"/>
  <c r="Q29" i="2" s="1"/>
  <c r="U29" i="2" s="1"/>
  <c r="L20" i="2"/>
  <c r="N20" i="2" s="1"/>
  <c r="P20" i="2" s="1"/>
  <c r="L36" i="2"/>
  <c r="B12" i="1"/>
  <c r="B13" i="1"/>
  <c r="L35" i="2"/>
  <c r="M26" i="2"/>
  <c r="M30" i="2"/>
  <c r="N30" i="2" s="1"/>
  <c r="P30" i="2" s="1"/>
  <c r="Q30" i="2" s="1"/>
  <c r="U30" i="2" s="1"/>
  <c r="M5" i="2"/>
  <c r="N5" i="2" s="1"/>
  <c r="P5" i="2" s="1"/>
  <c r="Q5" i="2" s="1"/>
  <c r="U5" i="2" s="1"/>
  <c r="M29" i="2"/>
  <c r="B17" i="2"/>
  <c r="B19" i="2"/>
  <c r="B21" i="2" s="1"/>
  <c r="L9" i="2"/>
  <c r="L6" i="2"/>
  <c r="N6" i="2" s="1"/>
  <c r="P6" i="2" s="1"/>
  <c r="Q6" i="2" s="1"/>
  <c r="U6" i="2" s="1"/>
  <c r="L22" i="2"/>
  <c r="N22" i="2" s="1"/>
  <c r="P22" i="2" s="1"/>
  <c r="Q22" i="2" s="1"/>
  <c r="U22" i="2" s="1"/>
  <c r="L38" i="2"/>
  <c r="M27" i="2"/>
  <c r="M7" i="2"/>
  <c r="N7" i="2" s="1"/>
  <c r="P7" i="2" s="1"/>
  <c r="Q7" i="2" s="1"/>
  <c r="U7" i="2" s="1"/>
  <c r="M23" i="2"/>
  <c r="N17" i="2"/>
  <c r="P17" i="2" s="1"/>
  <c r="Q17" i="2" s="1"/>
  <c r="U17" i="2" s="1"/>
  <c r="L3" i="2"/>
  <c r="N3" i="2" s="1"/>
  <c r="P3" i="2" s="1"/>
  <c r="Q3" i="2" s="1"/>
  <c r="U3" i="2" s="1"/>
  <c r="L23" i="2"/>
  <c r="L19" i="2"/>
  <c r="L24" i="2"/>
  <c r="N24" i="2" s="1"/>
  <c r="P24" i="2" s="1"/>
  <c r="Q24" i="2" s="1"/>
  <c r="U24" i="2" s="1"/>
  <c r="L40" i="2"/>
  <c r="N40" i="2" s="1"/>
  <c r="P40" i="2" s="1"/>
  <c r="Q40" i="2" s="1"/>
  <c r="U40" i="2" s="1"/>
  <c r="M35" i="2"/>
  <c r="M21" i="2"/>
  <c r="N21" i="2" s="1"/>
  <c r="P21" i="2" s="1"/>
  <c r="Q21" i="2" s="1"/>
  <c r="U21" i="2" s="1"/>
  <c r="M9" i="2"/>
  <c r="N41" i="2"/>
  <c r="P41" i="2" s="1"/>
  <c r="Q41" i="2" s="1"/>
  <c r="U41" i="2" s="1"/>
  <c r="B27" i="2"/>
  <c r="L13" i="2"/>
  <c r="N13" i="2" s="1"/>
  <c r="P13" i="2" s="1"/>
  <c r="Q13" i="2" s="1"/>
  <c r="U13" i="2" s="1"/>
  <c r="L27" i="2"/>
  <c r="N27" i="2" s="1"/>
  <c r="P27" i="2" s="1"/>
  <c r="Q27" i="2" s="1"/>
  <c r="U27" i="2" s="1"/>
  <c r="L10" i="2"/>
  <c r="L26" i="2"/>
  <c r="L42" i="2"/>
  <c r="N42" i="2" s="1"/>
  <c r="P42" i="2" s="1"/>
  <c r="Q42" i="2" s="1"/>
  <c r="U42" i="2" s="1"/>
  <c r="O20" i="2"/>
  <c r="Q20" i="2" s="1"/>
  <c r="U20" i="2" s="1"/>
  <c r="M8" i="2"/>
  <c r="N8" i="2" s="1"/>
  <c r="P8" i="2" s="1"/>
  <c r="Q8" i="2" s="1"/>
  <c r="U8" i="2" s="1"/>
  <c r="M19" i="2"/>
  <c r="M36" i="2"/>
  <c r="M15" i="2"/>
  <c r="N15" i="2" s="1"/>
  <c r="P15" i="2" s="1"/>
  <c r="Q15" i="2" s="1"/>
  <c r="U15" i="2" s="1"/>
  <c r="L12" i="2"/>
  <c r="N12" i="2" s="1"/>
  <c r="P12" i="2" s="1"/>
  <c r="Q12" i="2" s="1"/>
  <c r="U12" i="2" s="1"/>
  <c r="L28" i="2"/>
  <c r="N28" i="2" s="1"/>
  <c r="P28" i="2" s="1"/>
  <c r="Q28" i="2" s="1"/>
  <c r="U28" i="2" s="1"/>
  <c r="L44" i="2"/>
  <c r="N44" i="2" s="1"/>
  <c r="P44" i="2" s="1"/>
  <c r="Q44" i="2" s="1"/>
  <c r="U44" i="2" s="1"/>
  <c r="M37" i="2"/>
  <c r="M31" i="2"/>
  <c r="N31" i="2" s="1"/>
  <c r="P31" i="2" s="1"/>
  <c r="Q31" i="2" s="1"/>
  <c r="U31" i="2" s="1"/>
  <c r="M18" i="2"/>
  <c r="N18" i="2" s="1"/>
  <c r="P18" i="2" s="1"/>
  <c r="Q18" i="2" s="1"/>
  <c r="U18" i="2" s="1"/>
  <c r="M10" i="2"/>
  <c r="B19" i="3" l="1"/>
  <c r="Q43" i="2"/>
  <c r="U43" i="2" s="1"/>
  <c r="N10" i="2"/>
  <c r="P10" i="2" s="1"/>
  <c r="Q10" i="2" s="1"/>
  <c r="U10" i="2" s="1"/>
  <c r="N23" i="2"/>
  <c r="P23" i="2" s="1"/>
  <c r="Q23" i="2" s="1"/>
  <c r="U23" i="2" s="1"/>
  <c r="N32" i="2"/>
  <c r="P32" i="2" s="1"/>
  <c r="Q32" i="2" s="1"/>
  <c r="U32" i="2" s="1"/>
  <c r="N9" i="2"/>
  <c r="P9" i="2" s="1"/>
  <c r="Q9" i="2" s="1"/>
  <c r="U9" i="2" s="1"/>
  <c r="N35" i="2"/>
  <c r="P35" i="2" s="1"/>
  <c r="Q35" i="2" s="1"/>
  <c r="U35" i="2" s="1"/>
  <c r="N26" i="2"/>
  <c r="P26" i="2" s="1"/>
  <c r="Q26" i="2" s="1"/>
  <c r="U26" i="2" s="1"/>
  <c r="N37" i="2"/>
  <c r="P37" i="2" s="1"/>
  <c r="Q37" i="2" s="1"/>
  <c r="U37" i="2" s="1"/>
  <c r="N36" i="2"/>
  <c r="P36" i="2" s="1"/>
  <c r="Q36" i="2" s="1"/>
  <c r="U36" i="2" s="1"/>
  <c r="N38" i="2"/>
  <c r="P38" i="2" s="1"/>
  <c r="Q38" i="2" s="1"/>
  <c r="U38" i="2" s="1"/>
  <c r="N19" i="2"/>
  <c r="P19" i="2" s="1"/>
  <c r="Q19" i="2" s="1"/>
  <c r="U19" i="2" s="1"/>
  <c r="B20" i="3"/>
</calcChain>
</file>

<file path=xl/sharedStrings.xml><?xml version="1.0" encoding="utf-8"?>
<sst xmlns="http://schemas.openxmlformats.org/spreadsheetml/2006/main" count="3096" uniqueCount="100">
  <si>
    <t>Mu(0)</t>
  </si>
  <si>
    <t>XBar1</t>
  </si>
  <si>
    <t>Alpha</t>
  </si>
  <si>
    <t>n1</t>
  </si>
  <si>
    <t>s1</t>
  </si>
  <si>
    <t>zcrit</t>
  </si>
  <si>
    <t>Cohend1</t>
  </si>
  <si>
    <t>Max d2</t>
  </si>
  <si>
    <t>tcrit</t>
  </si>
  <si>
    <t>Problem Definition</t>
  </si>
  <si>
    <t>IsRight</t>
  </si>
  <si>
    <t>zt1</t>
  </si>
  <si>
    <t>Increment</t>
  </si>
  <si>
    <t>IsSignifz</t>
  </si>
  <si>
    <t>IsSignift</t>
  </si>
  <si>
    <t>Diff</t>
  </si>
  <si>
    <t>OutCol</t>
  </si>
  <si>
    <t>sMult</t>
  </si>
  <si>
    <t>s2</t>
  </si>
  <si>
    <t>d2</t>
  </si>
  <si>
    <t>X2</t>
  </si>
  <si>
    <t>XC</t>
  </si>
  <si>
    <t>SC</t>
  </si>
  <si>
    <t>N2</t>
  </si>
  <si>
    <t>Converge</t>
  </si>
  <si>
    <t>X1</t>
  </si>
  <si>
    <t>Cohen's d</t>
  </si>
  <si>
    <t>Glass's g</t>
  </si>
  <si>
    <t>spooled</t>
  </si>
  <si>
    <t>sML</t>
  </si>
  <si>
    <t>D(0)</t>
  </si>
  <si>
    <t>XA</t>
  </si>
  <si>
    <t>XB</t>
  </si>
  <si>
    <t>sA</t>
  </si>
  <si>
    <t>nA</t>
  </si>
  <si>
    <t>XBarB</t>
  </si>
  <si>
    <t>XBarA</t>
  </si>
  <si>
    <t>sB</t>
  </si>
  <si>
    <t>nB</t>
  </si>
  <si>
    <t>z/tWelch</t>
  </si>
  <si>
    <t>tStudent</t>
  </si>
  <si>
    <t>S2A</t>
  </si>
  <si>
    <t>S2B</t>
  </si>
  <si>
    <t>S2pooled</t>
  </si>
  <si>
    <t>IsSigniftStudent</t>
  </si>
  <si>
    <t>IsSignifWelch</t>
  </si>
  <si>
    <t>tcritStudent</t>
  </si>
  <si>
    <t>tcritWelch</t>
  </si>
  <si>
    <t>SSxx</t>
  </si>
  <si>
    <t>SSyy</t>
  </si>
  <si>
    <t>SSxy</t>
  </si>
  <si>
    <t>Sum X</t>
  </si>
  <si>
    <t>Sum X^2</t>
  </si>
  <si>
    <t>Sum Y</t>
  </si>
  <si>
    <t>Sum Y^2</t>
  </si>
  <si>
    <t>Sum XY</t>
  </si>
  <si>
    <t>XBar</t>
  </si>
  <si>
    <t>YBar</t>
  </si>
  <si>
    <t>Corr</t>
  </si>
  <si>
    <t>XDiff2</t>
  </si>
  <si>
    <t>XA2</t>
  </si>
  <si>
    <t>XB2</t>
  </si>
  <si>
    <t>XDiffC</t>
  </si>
  <si>
    <t>SAC</t>
  </si>
  <si>
    <t>SBC</t>
  </si>
  <si>
    <t>SPooledC</t>
  </si>
  <si>
    <t>DF</t>
  </si>
  <si>
    <t>SE</t>
  </si>
  <si>
    <t>k</t>
  </si>
  <si>
    <t>kOpt</t>
  </si>
  <si>
    <t>N2A</t>
  </si>
  <si>
    <t>N2B</t>
  </si>
  <si>
    <t>N2Opt</t>
  </si>
  <si>
    <t>r2</t>
  </si>
  <si>
    <t>zc</t>
  </si>
  <si>
    <t>ztrans</t>
  </si>
  <si>
    <t>ztrans2</t>
  </si>
  <si>
    <t>Zsample</t>
  </si>
  <si>
    <t>Min d2</t>
  </si>
  <si>
    <t>Z</t>
  </si>
  <si>
    <t>a=0.10</t>
  </si>
  <si>
    <t>a=0.01</t>
  </si>
  <si>
    <t>a=0.05</t>
  </si>
  <si>
    <t>Min r2</t>
  </si>
  <si>
    <t>Max r2</t>
  </si>
  <si>
    <t>EXP.SUM</t>
  </si>
  <si>
    <t>SAT.SUM</t>
  </si>
  <si>
    <t>PWOM.SUM</t>
  </si>
  <si>
    <t>INTENT.SUM</t>
  </si>
  <si>
    <t>ENJOY.SUM</t>
  </si>
  <si>
    <t>EXP:SAT</t>
  </si>
  <si>
    <t>EXP:PWOM</t>
  </si>
  <si>
    <t>EXP:INTENT</t>
  </si>
  <si>
    <t>EXP:ENJOY</t>
  </si>
  <si>
    <t>SAT:PWOM</t>
  </si>
  <si>
    <t>SAT:INTENT</t>
  </si>
  <si>
    <t>SAT:ENJOY</t>
  </si>
  <si>
    <t>PWOM:INTENT</t>
  </si>
  <si>
    <t>INTENT:ENJOY</t>
  </si>
  <si>
    <t>PWOM:ENJOY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</si>
</sst>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1" fillId="2" borderId="0" xfId="0" applyFont="1" applyFill="1"/>
    <xf numFmtId="11" fontId="0" fillId="2" borderId="0" xfId="0" applyNumberForma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Examplencurves!$B$1</c:f>
              <c:strCache>
                <c:ptCount val="1"/>
                <c:pt idx="0">
                  <c:v>a=0.10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Examplencurves!$A$2:$A$100</c:f>
              <c:numCache>
                <c:formatCode>General</c:formatCode>
                <c:ptCount val="99"/>
                <c:pt idx="0">
                  <c:v>-0.99</c:v>
                </c:pt>
                <c:pt idx="1">
                  <c:v>-0.98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-0.94</c:v>
                </c:pt>
                <c:pt idx="6">
                  <c:v>-0.93</c:v>
                </c:pt>
                <c:pt idx="7">
                  <c:v>-0.92</c:v>
                </c:pt>
                <c:pt idx="8">
                  <c:v>-0.91</c:v>
                </c:pt>
                <c:pt idx="9">
                  <c:v>-0.9</c:v>
                </c:pt>
                <c:pt idx="10">
                  <c:v>-0.89</c:v>
                </c:pt>
                <c:pt idx="11">
                  <c:v>-0.88</c:v>
                </c:pt>
                <c:pt idx="12">
                  <c:v>-0.87</c:v>
                </c:pt>
                <c:pt idx="13">
                  <c:v>-0.86</c:v>
                </c:pt>
                <c:pt idx="14">
                  <c:v>-0.85</c:v>
                </c:pt>
                <c:pt idx="15">
                  <c:v>-0.84</c:v>
                </c:pt>
                <c:pt idx="16">
                  <c:v>-0.83</c:v>
                </c:pt>
                <c:pt idx="17">
                  <c:v>-0.82</c:v>
                </c:pt>
                <c:pt idx="18">
                  <c:v>-0.81</c:v>
                </c:pt>
                <c:pt idx="19">
                  <c:v>-0.8</c:v>
                </c:pt>
                <c:pt idx="20">
                  <c:v>-0.79</c:v>
                </c:pt>
                <c:pt idx="21">
                  <c:v>-0.78</c:v>
                </c:pt>
                <c:pt idx="22">
                  <c:v>-0.77</c:v>
                </c:pt>
                <c:pt idx="23">
                  <c:v>-0.76</c:v>
                </c:pt>
                <c:pt idx="24">
                  <c:v>-0.75</c:v>
                </c:pt>
                <c:pt idx="25">
                  <c:v>-0.74</c:v>
                </c:pt>
                <c:pt idx="26">
                  <c:v>-0.73</c:v>
                </c:pt>
                <c:pt idx="27">
                  <c:v>-0.72</c:v>
                </c:pt>
                <c:pt idx="28">
                  <c:v>-0.71</c:v>
                </c:pt>
                <c:pt idx="29">
                  <c:v>-0.7</c:v>
                </c:pt>
                <c:pt idx="30">
                  <c:v>-0.69</c:v>
                </c:pt>
                <c:pt idx="31">
                  <c:v>-0.68</c:v>
                </c:pt>
                <c:pt idx="32">
                  <c:v>-0.67</c:v>
                </c:pt>
                <c:pt idx="33">
                  <c:v>-0.66</c:v>
                </c:pt>
                <c:pt idx="34">
                  <c:v>-0.65</c:v>
                </c:pt>
                <c:pt idx="35">
                  <c:v>-0.64</c:v>
                </c:pt>
                <c:pt idx="36">
                  <c:v>-0.63</c:v>
                </c:pt>
                <c:pt idx="37">
                  <c:v>-0.62</c:v>
                </c:pt>
                <c:pt idx="38">
                  <c:v>-0.61</c:v>
                </c:pt>
                <c:pt idx="39">
                  <c:v>-0.6</c:v>
                </c:pt>
                <c:pt idx="40">
                  <c:v>-0.59</c:v>
                </c:pt>
                <c:pt idx="41">
                  <c:v>-0.57999999999999996</c:v>
                </c:pt>
                <c:pt idx="42">
                  <c:v>-0.56999999999999995</c:v>
                </c:pt>
                <c:pt idx="43">
                  <c:v>-0.56000000000000005</c:v>
                </c:pt>
                <c:pt idx="44">
                  <c:v>-0.55000000000000004</c:v>
                </c:pt>
                <c:pt idx="45">
                  <c:v>-0.54</c:v>
                </c:pt>
                <c:pt idx="46">
                  <c:v>-0.53</c:v>
                </c:pt>
                <c:pt idx="47">
                  <c:v>-0.52</c:v>
                </c:pt>
                <c:pt idx="48">
                  <c:v>-0.51</c:v>
                </c:pt>
                <c:pt idx="49">
                  <c:v>-0.5</c:v>
                </c:pt>
                <c:pt idx="50">
                  <c:v>-0.49</c:v>
                </c:pt>
                <c:pt idx="51">
                  <c:v>-0.48</c:v>
                </c:pt>
                <c:pt idx="52">
                  <c:v>-0.47</c:v>
                </c:pt>
                <c:pt idx="53">
                  <c:v>-0.46</c:v>
                </c:pt>
                <c:pt idx="54">
                  <c:v>-0.45</c:v>
                </c:pt>
                <c:pt idx="55">
                  <c:v>-0.44</c:v>
                </c:pt>
                <c:pt idx="56">
                  <c:v>-0.43</c:v>
                </c:pt>
                <c:pt idx="57">
                  <c:v>-0.42</c:v>
                </c:pt>
                <c:pt idx="58">
                  <c:v>-0.41</c:v>
                </c:pt>
                <c:pt idx="59">
                  <c:v>-0.4</c:v>
                </c:pt>
                <c:pt idx="60">
                  <c:v>-0.39</c:v>
                </c:pt>
                <c:pt idx="61">
                  <c:v>-0.38</c:v>
                </c:pt>
                <c:pt idx="62">
                  <c:v>-0.37</c:v>
                </c:pt>
                <c:pt idx="63">
                  <c:v>-0.36</c:v>
                </c:pt>
                <c:pt idx="64">
                  <c:v>-0.35</c:v>
                </c:pt>
                <c:pt idx="65">
                  <c:v>-0.34</c:v>
                </c:pt>
                <c:pt idx="66">
                  <c:v>-0.33</c:v>
                </c:pt>
                <c:pt idx="67">
                  <c:v>-0.32</c:v>
                </c:pt>
                <c:pt idx="68">
                  <c:v>-0.31</c:v>
                </c:pt>
                <c:pt idx="69">
                  <c:v>-0.3</c:v>
                </c:pt>
                <c:pt idx="70">
                  <c:v>-0.28999999999999998</c:v>
                </c:pt>
                <c:pt idx="71">
                  <c:v>-0.28000000000000003</c:v>
                </c:pt>
                <c:pt idx="72">
                  <c:v>-0.27</c:v>
                </c:pt>
                <c:pt idx="73">
                  <c:v>-0.26</c:v>
                </c:pt>
                <c:pt idx="74">
                  <c:v>-0.25</c:v>
                </c:pt>
                <c:pt idx="75">
                  <c:v>-0.24</c:v>
                </c:pt>
                <c:pt idx="76">
                  <c:v>-0.23</c:v>
                </c:pt>
                <c:pt idx="77">
                  <c:v>-0.22</c:v>
                </c:pt>
                <c:pt idx="78">
                  <c:v>-0.21</c:v>
                </c:pt>
                <c:pt idx="79">
                  <c:v>-0.2</c:v>
                </c:pt>
                <c:pt idx="80">
                  <c:v>-0.19</c:v>
                </c:pt>
                <c:pt idx="81">
                  <c:v>-0.18</c:v>
                </c:pt>
                <c:pt idx="82">
                  <c:v>-0.17</c:v>
                </c:pt>
                <c:pt idx="83">
                  <c:v>-0.16</c:v>
                </c:pt>
                <c:pt idx="84">
                  <c:v>-0.15</c:v>
                </c:pt>
                <c:pt idx="85">
                  <c:v>-0.14000000000000001</c:v>
                </c:pt>
                <c:pt idx="86">
                  <c:v>-0.13</c:v>
                </c:pt>
                <c:pt idx="87">
                  <c:v>-0.12</c:v>
                </c:pt>
                <c:pt idx="88">
                  <c:v>-0.11</c:v>
                </c:pt>
                <c:pt idx="89">
                  <c:v>-0.1</c:v>
                </c:pt>
                <c:pt idx="90">
                  <c:v>-0.09</c:v>
                </c:pt>
                <c:pt idx="91">
                  <c:v>-0.08</c:v>
                </c:pt>
                <c:pt idx="92">
                  <c:v>-7.0000000000000007E-2</c:v>
                </c:pt>
                <c:pt idx="93">
                  <c:v>-0.06</c:v>
                </c:pt>
                <c:pt idx="94">
                  <c:v>-0.05</c:v>
                </c:pt>
                <c:pt idx="95">
                  <c:v>-0.04</c:v>
                </c:pt>
                <c:pt idx="96">
                  <c:v>-0.03</c:v>
                </c:pt>
                <c:pt idx="97">
                  <c:v>-0.02</c:v>
                </c:pt>
                <c:pt idx="98">
                  <c:v>-0.01</c:v>
                </c:pt>
              </c:numCache>
            </c:numRef>
          </c:cat>
          <c:val>
            <c:numRef>
              <c:f>Examplencurves!$B$2:$B$100</c:f>
              <c:numCache>
                <c:formatCode>General</c:formatCode>
                <c:ptCount val="99"/>
                <c:pt idx="0">
                  <c:v>17.039646479333854</c:v>
                </c:pt>
                <c:pt idx="1">
                  <c:v>19.259660569905002</c:v>
                </c:pt>
                <c:pt idx="2">
                  <c:v>20.926223927828023</c:v>
                </c:pt>
                <c:pt idx="3">
                  <c:v>22.339782212535759</c:v>
                </c:pt>
                <c:pt idx="4">
                  <c:v>23.606555546797061</c:v>
                </c:pt>
                <c:pt idx="5">
                  <c:v>24.778007677632001</c:v>
                </c:pt>
                <c:pt idx="6">
                  <c:v>25.883520365312744</c:v>
                </c:pt>
                <c:pt idx="7">
                  <c:v>26.941705139707995</c:v>
                </c:pt>
                <c:pt idx="8">
                  <c:v>27.965258069457725</c:v>
                </c:pt>
                <c:pt idx="9">
                  <c:v>28.963305953340907</c:v>
                </c:pt>
                <c:pt idx="10">
                  <c:v>29.942759857472627</c:v>
                </c:pt>
                <c:pt idx="11">
                  <c:v>30.908963479963813</c:v>
                </c:pt>
                <c:pt idx="12">
                  <c:v>31.866250559118683</c:v>
                </c:pt>
                <c:pt idx="13">
                  <c:v>32.818197634816379</c:v>
                </c:pt>
                <c:pt idx="14">
                  <c:v>33.76785549425307</c:v>
                </c:pt>
                <c:pt idx="15">
                  <c:v>34.717839990353461</c:v>
                </c:pt>
                <c:pt idx="16">
                  <c:v>35.670485004847116</c:v>
                </c:pt>
                <c:pt idx="17">
                  <c:v>36.627880705822214</c:v>
                </c:pt>
                <c:pt idx="18">
                  <c:v>37.591972758481091</c:v>
                </c:pt>
                <c:pt idx="19">
                  <c:v>38.564559270441151</c:v>
                </c:pt>
                <c:pt idx="20">
                  <c:v>39.547317907953293</c:v>
                </c:pt>
                <c:pt idx="21">
                  <c:v>40.541909403172298</c:v>
                </c:pt>
                <c:pt idx="22">
                  <c:v>41.549901577212026</c:v>
                </c:pt>
                <c:pt idx="23">
                  <c:v>42.572843981550932</c:v>
                </c:pt>
                <c:pt idx="24">
                  <c:v>43.61231391990782</c:v>
                </c:pt>
                <c:pt idx="25">
                  <c:v>44.669825271463921</c:v>
                </c:pt>
                <c:pt idx="26">
                  <c:v>45.746966798715135</c:v>
                </c:pt>
                <c:pt idx="27">
                  <c:v>46.845326885752179</c:v>
                </c:pt>
                <c:pt idx="28">
                  <c:v>47.966525500888928</c:v>
                </c:pt>
                <c:pt idx="29">
                  <c:v>49.112239304839065</c:v>
                </c:pt>
                <c:pt idx="30">
                  <c:v>50.284235470872936</c:v>
                </c:pt>
                <c:pt idx="31">
                  <c:v>51.484264102242868</c:v>
                </c:pt>
                <c:pt idx="32">
                  <c:v>52.714297729181368</c:v>
                </c:pt>
                <c:pt idx="33">
                  <c:v>53.976258285177643</c:v>
                </c:pt>
                <c:pt idx="34">
                  <c:v>55.272274635953671</c:v>
                </c:pt>
                <c:pt idx="35">
                  <c:v>56.604527973532527</c:v>
                </c:pt>
                <c:pt idx="36">
                  <c:v>57.975385218294321</c:v>
                </c:pt>
                <c:pt idx="37">
                  <c:v>59.387308105228996</c:v>
                </c:pt>
                <c:pt idx="38">
                  <c:v>60.842956977011902</c:v>
                </c:pt>
                <c:pt idx="39">
                  <c:v>62.345166131856139</c:v>
                </c:pt>
                <c:pt idx="40">
                  <c:v>63.896985392274736</c:v>
                </c:pt>
                <c:pt idx="41">
                  <c:v>65.50162306472437</c:v>
                </c:pt>
                <c:pt idx="42">
                  <c:v>67.162589899466738</c:v>
                </c:pt>
                <c:pt idx="43">
                  <c:v>68.883713433964289</c:v>
                </c:pt>
                <c:pt idx="44">
                  <c:v>70.668982454999878</c:v>
                </c:pt>
                <c:pt idx="45">
                  <c:v>72.522834330545138</c:v>
                </c:pt>
                <c:pt idx="46">
                  <c:v>74.450073462101329</c:v>
                </c:pt>
                <c:pt idx="47">
                  <c:v>76.455857444453443</c:v>
                </c:pt>
                <c:pt idx="48">
                  <c:v>78.545896047190013</c:v>
                </c:pt>
                <c:pt idx="49">
                  <c:v>80.726305090685941</c:v>
                </c:pt>
                <c:pt idx="50">
                  <c:v>83.003922535415228</c:v>
                </c:pt>
                <c:pt idx="51">
                  <c:v>85.386135334951376</c:v>
                </c:pt>
                <c:pt idx="52">
                  <c:v>87.881102856283803</c:v>
                </c:pt>
                <c:pt idx="53">
                  <c:v>90.497811149729515</c:v>
                </c:pt>
                <c:pt idx="54">
                  <c:v>93.246190598181343</c:v>
                </c:pt>
                <c:pt idx="55">
                  <c:v>96.137264576050271</c:v>
                </c:pt>
                <c:pt idx="56">
                  <c:v>99.183236955710939</c:v>
                </c:pt>
                <c:pt idx="57">
                  <c:v>102.39774742759963</c:v>
                </c:pt>
                <c:pt idx="58">
                  <c:v>105.79593750256305</c:v>
                </c:pt>
                <c:pt idx="59">
                  <c:v>109.39498900820325</c:v>
                </c:pt>
                <c:pt idx="60">
                  <c:v>113.21399161447086</c:v>
                </c:pt>
                <c:pt idx="61">
                  <c:v>117.27455118718132</c:v>
                </c:pt>
                <c:pt idx="62">
                  <c:v>121.60130378769026</c:v>
                </c:pt>
                <c:pt idx="63">
                  <c:v>126.22199346257543</c:v>
                </c:pt>
                <c:pt idx="64">
                  <c:v>131.16836056112993</c:v>
                </c:pt>
                <c:pt idx="65">
                  <c:v>136.47707097834504</c:v>
                </c:pt>
                <c:pt idx="66">
                  <c:v>142.18989951204236</c:v>
                </c:pt>
                <c:pt idx="67">
                  <c:v>148.35554519572457</c:v>
                </c:pt>
                <c:pt idx="68">
                  <c:v>155.03034507221841</c:v>
                </c:pt>
                <c:pt idx="69">
                  <c:v>162.28061508101445</c:v>
                </c:pt>
                <c:pt idx="70">
                  <c:v>170.18387552595794</c:v>
                </c:pt>
                <c:pt idx="71">
                  <c:v>178.83229346202933</c:v>
                </c:pt>
                <c:pt idx="72">
                  <c:v>188.33549628322126</c:v>
                </c:pt>
                <c:pt idx="73">
                  <c:v>198.82523932855204</c:v>
                </c:pt>
                <c:pt idx="74">
                  <c:v>210.46100715302052</c:v>
                </c:pt>
                <c:pt idx="75">
                  <c:v>223.43722054060063</c:v>
                </c:pt>
                <c:pt idx="76">
                  <c:v>237.99353629404479</c:v>
                </c:pt>
                <c:pt idx="77">
                  <c:v>254.42785329341845</c:v>
                </c:pt>
                <c:pt idx="78">
                  <c:v>273.11544484599682</c:v>
                </c:pt>
                <c:pt idx="79">
                  <c:v>294.53299109122707</c:v>
                </c:pt>
                <c:pt idx="80">
                  <c:v>319.29577742478659</c:v>
                </c:pt>
                <c:pt idx="81">
                  <c:v>348.20810670682499</c:v>
                </c:pt>
                <c:pt idx="82">
                  <c:v>382.33803130734822</c:v>
                </c:pt>
                <c:pt idx="83">
                  <c:v>423.12912653293159</c:v>
                </c:pt>
                <c:pt idx="84">
                  <c:v>472.56712974407122</c:v>
                </c:pt>
                <c:pt idx="85">
                  <c:v>533.44695613225781</c:v>
                </c:pt>
                <c:pt idx="86">
                  <c:v>609.79038696002988</c:v>
                </c:pt>
                <c:pt idx="87">
                  <c:v>707.53283255259453</c:v>
                </c:pt>
                <c:pt idx="88">
                  <c:v>835.70043810688708</c:v>
                </c:pt>
                <c:pt idx="89">
                  <c:v>1008.5091076076015</c:v>
                </c:pt>
                <c:pt idx="90">
                  <c:v>1249.016584871785</c:v>
                </c:pt>
                <c:pt idx="91">
                  <c:v>1596.867041105882</c:v>
                </c:pt>
                <c:pt idx="92">
                  <c:v>2123.4073568208191</c:v>
                </c:pt>
                <c:pt idx="93">
                  <c:v>2966.9763198684436</c:v>
                </c:pt>
                <c:pt idx="94">
                  <c:v>4422.5666444810349</c:v>
                </c:pt>
                <c:pt idx="95">
                  <c:v>7208.0635635826739</c:v>
                </c:pt>
                <c:pt idx="96">
                  <c:v>13453.746187489905</c:v>
                </c:pt>
                <c:pt idx="97">
                  <c:v>31939.436028419805</c:v>
                </c:pt>
                <c:pt idx="98">
                  <c:v>135241.37661162578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C5-491E-8A1E-6AD9EF9E49CB}"/>
            </c:ext>
          </c:extLst>
        </c:ser>
        <c:ser>
          <c:idx val="2"/>
          <c:order val="1"/>
          <c:tx>
            <c:strRef>
              <c:f>Examplencurves!$C$1</c:f>
              <c:strCache>
                <c:ptCount val="1"/>
                <c:pt idx="0">
                  <c:v>a=0.05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Examplencurves!$A$2:$A$100</c:f>
              <c:numCache>
                <c:formatCode>General</c:formatCode>
                <c:ptCount val="99"/>
                <c:pt idx="0">
                  <c:v>-0.99</c:v>
                </c:pt>
                <c:pt idx="1">
                  <c:v>-0.98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-0.94</c:v>
                </c:pt>
                <c:pt idx="6">
                  <c:v>-0.93</c:v>
                </c:pt>
                <c:pt idx="7">
                  <c:v>-0.92</c:v>
                </c:pt>
                <c:pt idx="8">
                  <c:v>-0.91</c:v>
                </c:pt>
                <c:pt idx="9">
                  <c:v>-0.9</c:v>
                </c:pt>
                <c:pt idx="10">
                  <c:v>-0.89</c:v>
                </c:pt>
                <c:pt idx="11">
                  <c:v>-0.88</c:v>
                </c:pt>
                <c:pt idx="12">
                  <c:v>-0.87</c:v>
                </c:pt>
                <c:pt idx="13">
                  <c:v>-0.86</c:v>
                </c:pt>
                <c:pt idx="14">
                  <c:v>-0.85</c:v>
                </c:pt>
                <c:pt idx="15">
                  <c:v>-0.84</c:v>
                </c:pt>
                <c:pt idx="16">
                  <c:v>-0.83</c:v>
                </c:pt>
                <c:pt idx="17">
                  <c:v>-0.82</c:v>
                </c:pt>
                <c:pt idx="18">
                  <c:v>-0.81</c:v>
                </c:pt>
                <c:pt idx="19">
                  <c:v>-0.8</c:v>
                </c:pt>
                <c:pt idx="20">
                  <c:v>-0.79</c:v>
                </c:pt>
                <c:pt idx="21">
                  <c:v>-0.78</c:v>
                </c:pt>
                <c:pt idx="22">
                  <c:v>-0.77</c:v>
                </c:pt>
                <c:pt idx="23">
                  <c:v>-0.76</c:v>
                </c:pt>
                <c:pt idx="24">
                  <c:v>-0.75</c:v>
                </c:pt>
                <c:pt idx="25">
                  <c:v>-0.74</c:v>
                </c:pt>
                <c:pt idx="26">
                  <c:v>-0.73</c:v>
                </c:pt>
                <c:pt idx="27">
                  <c:v>-0.72</c:v>
                </c:pt>
                <c:pt idx="28">
                  <c:v>-0.71</c:v>
                </c:pt>
                <c:pt idx="29">
                  <c:v>-0.7</c:v>
                </c:pt>
                <c:pt idx="30">
                  <c:v>-0.69</c:v>
                </c:pt>
                <c:pt idx="31">
                  <c:v>-0.68</c:v>
                </c:pt>
                <c:pt idx="32">
                  <c:v>-0.67</c:v>
                </c:pt>
                <c:pt idx="33">
                  <c:v>-0.66</c:v>
                </c:pt>
                <c:pt idx="34">
                  <c:v>-0.65</c:v>
                </c:pt>
                <c:pt idx="35">
                  <c:v>-0.64</c:v>
                </c:pt>
                <c:pt idx="36">
                  <c:v>-0.63</c:v>
                </c:pt>
                <c:pt idx="37">
                  <c:v>-0.62</c:v>
                </c:pt>
                <c:pt idx="38">
                  <c:v>-0.61</c:v>
                </c:pt>
                <c:pt idx="39">
                  <c:v>-0.6</c:v>
                </c:pt>
                <c:pt idx="40">
                  <c:v>-0.59</c:v>
                </c:pt>
                <c:pt idx="41">
                  <c:v>-0.57999999999999996</c:v>
                </c:pt>
                <c:pt idx="42">
                  <c:v>-0.56999999999999995</c:v>
                </c:pt>
                <c:pt idx="43">
                  <c:v>-0.56000000000000005</c:v>
                </c:pt>
                <c:pt idx="44">
                  <c:v>-0.55000000000000004</c:v>
                </c:pt>
                <c:pt idx="45">
                  <c:v>-0.54</c:v>
                </c:pt>
                <c:pt idx="46">
                  <c:v>-0.53</c:v>
                </c:pt>
                <c:pt idx="47">
                  <c:v>-0.52</c:v>
                </c:pt>
                <c:pt idx="48">
                  <c:v>-0.51</c:v>
                </c:pt>
                <c:pt idx="49">
                  <c:v>-0.5</c:v>
                </c:pt>
                <c:pt idx="50">
                  <c:v>-0.49</c:v>
                </c:pt>
                <c:pt idx="51">
                  <c:v>-0.48</c:v>
                </c:pt>
                <c:pt idx="52">
                  <c:v>-0.47</c:v>
                </c:pt>
                <c:pt idx="53">
                  <c:v>-0.46</c:v>
                </c:pt>
                <c:pt idx="54">
                  <c:v>-0.45</c:v>
                </c:pt>
                <c:pt idx="55">
                  <c:v>-0.44</c:v>
                </c:pt>
                <c:pt idx="56">
                  <c:v>-0.43</c:v>
                </c:pt>
                <c:pt idx="57">
                  <c:v>-0.42</c:v>
                </c:pt>
                <c:pt idx="58">
                  <c:v>-0.41</c:v>
                </c:pt>
                <c:pt idx="59">
                  <c:v>-0.4</c:v>
                </c:pt>
                <c:pt idx="60">
                  <c:v>-0.39</c:v>
                </c:pt>
                <c:pt idx="61">
                  <c:v>-0.38</c:v>
                </c:pt>
                <c:pt idx="62">
                  <c:v>-0.37</c:v>
                </c:pt>
                <c:pt idx="63">
                  <c:v>-0.36</c:v>
                </c:pt>
                <c:pt idx="64">
                  <c:v>-0.35</c:v>
                </c:pt>
                <c:pt idx="65">
                  <c:v>-0.34</c:v>
                </c:pt>
                <c:pt idx="66">
                  <c:v>-0.33</c:v>
                </c:pt>
                <c:pt idx="67">
                  <c:v>-0.32</c:v>
                </c:pt>
                <c:pt idx="68">
                  <c:v>-0.31</c:v>
                </c:pt>
                <c:pt idx="69">
                  <c:v>-0.3</c:v>
                </c:pt>
                <c:pt idx="70">
                  <c:v>-0.28999999999999998</c:v>
                </c:pt>
                <c:pt idx="71">
                  <c:v>-0.28000000000000003</c:v>
                </c:pt>
                <c:pt idx="72">
                  <c:v>-0.27</c:v>
                </c:pt>
                <c:pt idx="73">
                  <c:v>-0.26</c:v>
                </c:pt>
                <c:pt idx="74">
                  <c:v>-0.25</c:v>
                </c:pt>
                <c:pt idx="75">
                  <c:v>-0.24</c:v>
                </c:pt>
                <c:pt idx="76">
                  <c:v>-0.23</c:v>
                </c:pt>
                <c:pt idx="77">
                  <c:v>-0.22</c:v>
                </c:pt>
                <c:pt idx="78">
                  <c:v>-0.21</c:v>
                </c:pt>
                <c:pt idx="79">
                  <c:v>-0.2</c:v>
                </c:pt>
                <c:pt idx="80">
                  <c:v>-0.19</c:v>
                </c:pt>
                <c:pt idx="81">
                  <c:v>-0.18</c:v>
                </c:pt>
                <c:pt idx="82">
                  <c:v>-0.17</c:v>
                </c:pt>
                <c:pt idx="83">
                  <c:v>-0.16</c:v>
                </c:pt>
                <c:pt idx="84">
                  <c:v>-0.15</c:v>
                </c:pt>
                <c:pt idx="85">
                  <c:v>-0.14000000000000001</c:v>
                </c:pt>
                <c:pt idx="86">
                  <c:v>-0.13</c:v>
                </c:pt>
                <c:pt idx="87">
                  <c:v>-0.12</c:v>
                </c:pt>
                <c:pt idx="88">
                  <c:v>-0.11</c:v>
                </c:pt>
                <c:pt idx="89">
                  <c:v>-0.1</c:v>
                </c:pt>
                <c:pt idx="90">
                  <c:v>-0.09</c:v>
                </c:pt>
                <c:pt idx="91">
                  <c:v>-0.08</c:v>
                </c:pt>
                <c:pt idx="92">
                  <c:v>-7.0000000000000007E-2</c:v>
                </c:pt>
                <c:pt idx="93">
                  <c:v>-0.06</c:v>
                </c:pt>
                <c:pt idx="94">
                  <c:v>-0.05</c:v>
                </c:pt>
                <c:pt idx="95">
                  <c:v>-0.04</c:v>
                </c:pt>
                <c:pt idx="96">
                  <c:v>-0.03</c:v>
                </c:pt>
                <c:pt idx="97">
                  <c:v>-0.02</c:v>
                </c:pt>
                <c:pt idx="98">
                  <c:v>-0.01</c:v>
                </c:pt>
              </c:numCache>
            </c:numRef>
          </c:cat>
          <c:val>
            <c:numRef>
              <c:f>Examplencurves!$C$2:$C$100</c:f>
              <c:numCache>
                <c:formatCode>General</c:formatCode>
                <c:ptCount val="99"/>
                <c:pt idx="0">
                  <c:v>23.052745985512388</c:v>
                </c:pt>
                <c:pt idx="1">
                  <c:v>26.247367161508244</c:v>
                </c:pt>
                <c:pt idx="2">
                  <c:v>28.649713547587254</c:v>
                </c:pt>
                <c:pt idx="3">
                  <c:v>30.690115796886296</c:v>
                </c:pt>
                <c:pt idx="4">
                  <c:v>32.520768469951591</c:v>
                </c:pt>
                <c:pt idx="5">
                  <c:v>34.215456047335515</c:v>
                </c:pt>
                <c:pt idx="6">
                  <c:v>35.816306295842779</c:v>
                </c:pt>
                <c:pt idx="7">
                  <c:v>37.35005122090778</c:v>
                </c:pt>
                <c:pt idx="8">
                  <c:v>38.834903129359326</c:v>
                </c:pt>
                <c:pt idx="9">
                  <c:v>40.284000856520223</c:v>
                </c:pt>
                <c:pt idx="10">
                  <c:v>41.707253044730102</c:v>
                </c:pt>
                <c:pt idx="11">
                  <c:v>43.112403865793389</c:v>
                </c:pt>
                <c:pt idx="12">
                  <c:v>44.505691567896896</c:v>
                </c:pt>
                <c:pt idx="13">
                  <c:v>45.892305163300932</c:v>
                </c:pt>
                <c:pt idx="14">
                  <c:v>47.276643378880969</c:v>
                </c:pt>
                <c:pt idx="15">
                  <c:v>48.662522523826624</c:v>
                </c:pt>
                <c:pt idx="16">
                  <c:v>50.053361718025691</c:v>
                </c:pt>
                <c:pt idx="17">
                  <c:v>51.452233113924692</c:v>
                </c:pt>
                <c:pt idx="18">
                  <c:v>52.861946400806318</c:v>
                </c:pt>
                <c:pt idx="19">
                  <c:v>54.285152794565263</c:v>
                </c:pt>
                <c:pt idx="20">
                  <c:v>55.724388592320658</c:v>
                </c:pt>
                <c:pt idx="21">
                  <c:v>57.182055664993833</c:v>
                </c:pt>
                <c:pt idx="22">
                  <c:v>58.660531958052616</c:v>
                </c:pt>
                <c:pt idx="23">
                  <c:v>60.162138453280889</c:v>
                </c:pt>
                <c:pt idx="24">
                  <c:v>61.689171120243081</c:v>
                </c:pt>
                <c:pt idx="25">
                  <c:v>63.244000704559411</c:v>
                </c:pt>
                <c:pt idx="26">
                  <c:v>64.828942198830987</c:v>
                </c:pt>
                <c:pt idx="27">
                  <c:v>66.446439413829054</c:v>
                </c:pt>
                <c:pt idx="28">
                  <c:v>68.09895175970631</c:v>
                </c:pt>
                <c:pt idx="29">
                  <c:v>69.789032991992485</c:v>
                </c:pt>
                <c:pt idx="30">
                  <c:v>71.519318793453294</c:v>
                </c:pt>
                <c:pt idx="31">
                  <c:v>73.292617943967713</c:v>
                </c:pt>
                <c:pt idx="32">
                  <c:v>75.111780899343202</c:v>
                </c:pt>
                <c:pt idx="33">
                  <c:v>76.979887969376037</c:v>
                </c:pt>
                <c:pt idx="34">
                  <c:v>78.900154060149404</c:v>
                </c:pt>
                <c:pt idx="35">
                  <c:v>80.875972207486811</c:v>
                </c:pt>
                <c:pt idx="36">
                  <c:v>82.910959531032006</c:v>
                </c:pt>
                <c:pt idx="37">
                  <c:v>85.008933323597049</c:v>
                </c:pt>
                <c:pt idx="38">
                  <c:v>87.174069408302898</c:v>
                </c:pt>
                <c:pt idx="39">
                  <c:v>89.410737117292754</c:v>
                </c:pt>
                <c:pt idx="40">
                  <c:v>91.723586985744006</c:v>
                </c:pt>
                <c:pt idx="41">
                  <c:v>94.117794184932677</c:v>
                </c:pt>
                <c:pt idx="42">
                  <c:v>96.598709569020983</c:v>
                </c:pt>
                <c:pt idx="43">
                  <c:v>99.172334664501122</c:v>
                </c:pt>
                <c:pt idx="44">
                  <c:v>101.84493585398546</c:v>
                </c:pt>
                <c:pt idx="45">
                  <c:v>104.6234968998846</c:v>
                </c:pt>
                <c:pt idx="46">
                  <c:v>107.51549006600207</c:v>
                </c:pt>
                <c:pt idx="47">
                  <c:v>110.5291141892973</c:v>
                </c:pt>
                <c:pt idx="48">
                  <c:v>113.67326796927165</c:v>
                </c:pt>
                <c:pt idx="49">
                  <c:v>116.95776982102041</c:v>
                </c:pt>
                <c:pt idx="50">
                  <c:v>120.39326532884273</c:v>
                </c:pt>
                <c:pt idx="51">
                  <c:v>123.99150944942548</c:v>
                </c:pt>
                <c:pt idx="52">
                  <c:v>127.76541977564256</c:v>
                </c:pt>
                <c:pt idx="53">
                  <c:v>131.72935546084281</c:v>
                </c:pt>
                <c:pt idx="54">
                  <c:v>135.89909757175107</c:v>
                </c:pt>
                <c:pt idx="55">
                  <c:v>140.29225797512572</c:v>
                </c:pt>
                <c:pt idx="56">
                  <c:v>144.92823728776173</c:v>
                </c:pt>
                <c:pt idx="57">
                  <c:v>149.82892531971734</c:v>
                </c:pt>
                <c:pt idx="58">
                  <c:v>155.01871283026071</c:v>
                </c:pt>
                <c:pt idx="59">
                  <c:v>160.52506885781719</c:v>
                </c:pt>
                <c:pt idx="60">
                  <c:v>166.37871411298119</c:v>
                </c:pt>
                <c:pt idx="61">
                  <c:v>172.61473123937856</c:v>
                </c:pt>
                <c:pt idx="62">
                  <c:v>179.27262138858342</c:v>
                </c:pt>
                <c:pt idx="63">
                  <c:v>186.39744004590528</c:v>
                </c:pt>
                <c:pt idx="64">
                  <c:v>194.04091700669844</c:v>
                </c:pt>
                <c:pt idx="65">
                  <c:v>202.26224351512738</c:v>
                </c:pt>
                <c:pt idx="66">
                  <c:v>211.12982808426452</c:v>
                </c:pt>
                <c:pt idx="67">
                  <c:v>220.72283702335321</c:v>
                </c:pt>
                <c:pt idx="68">
                  <c:v>231.13381372996997</c:v>
                </c:pt>
                <c:pt idx="69">
                  <c:v>242.4709141330836</c:v>
                </c:pt>
                <c:pt idx="70">
                  <c:v>254.86162298843399</c:v>
                </c:pt>
                <c:pt idx="71">
                  <c:v>268.45723942122515</c:v>
                </c:pt>
                <c:pt idx="72">
                  <c:v>283.43825945669528</c:v>
                </c:pt>
                <c:pt idx="73">
                  <c:v>300.02193007320272</c:v>
                </c:pt>
                <c:pt idx="74">
                  <c:v>318.47106623011234</c:v>
                </c:pt>
                <c:pt idx="75">
                  <c:v>339.10714629680024</c:v>
                </c:pt>
                <c:pt idx="76">
                  <c:v>362.32580804366762</c:v>
                </c:pt>
                <c:pt idx="77">
                  <c:v>388.61913957674034</c:v>
                </c:pt>
                <c:pt idx="78">
                  <c:v>418.60708132462031</c:v>
                </c:pt>
                <c:pt idx="79">
                  <c:v>453.07596394010892</c:v>
                </c:pt>
                <c:pt idx="80">
                  <c:v>493.03914617285062</c:v>
                </c:pt>
                <c:pt idx="81">
                  <c:v>539.8158271172482</c:v>
                </c:pt>
                <c:pt idx="82">
                  <c:v>595.15536023072775</c:v>
                </c:pt>
                <c:pt idx="83">
                  <c:v>661.40642149773691</c:v>
                </c:pt>
                <c:pt idx="84">
                  <c:v>741.7846250297705</c:v>
                </c:pt>
                <c:pt idx="85">
                  <c:v>840.7723739216259</c:v>
                </c:pt>
                <c:pt idx="86">
                  <c:v>964.76819195755513</c:v>
                </c:pt>
                <c:pt idx="87">
                  <c:v>1123.1127434268335</c:v>
                </c:pt>
                <c:pt idx="88">
                  <c:v>1329.8259783448805</c:v>
                </c:pt>
                <c:pt idx="89">
                  <c:v>1606.7484635963986</c:v>
                </c:pt>
                <c:pt idx="90">
                  <c:v>1988.8804689764847</c:v>
                </c:pt>
                <c:pt idx="91">
                  <c:v>2535.5135718752977</c:v>
                </c:pt>
                <c:pt idx="92">
                  <c:v>3352.52529367539</c:v>
                </c:pt>
                <c:pt idx="93">
                  <c:v>4643.4949991265921</c:v>
                </c:pt>
                <c:pt idx="94">
                  <c:v>6839.7528033628323</c:v>
                </c:pt>
                <c:pt idx="95">
                  <c:v>10985.66064803367</c:v>
                </c:pt>
                <c:pt idx="96">
                  <c:v>20164.19345684236</c:v>
                </c:pt>
                <c:pt idx="97">
                  <c:v>47019.126328279264</c:v>
                </c:pt>
                <c:pt idx="98">
                  <c:v>195518.29010127464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C5-491E-8A1E-6AD9EF9E49CB}"/>
            </c:ext>
          </c:extLst>
        </c:ser>
        <c:ser>
          <c:idx val="3"/>
          <c:order val="2"/>
          <c:tx>
            <c:strRef>
              <c:f>Examplencurves!$D$1</c:f>
              <c:strCache>
                <c:ptCount val="1"/>
                <c:pt idx="0">
                  <c:v>a=0.01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Examplencurves!$A$2:$A$100</c:f>
              <c:numCache>
                <c:formatCode>General</c:formatCode>
                <c:ptCount val="99"/>
                <c:pt idx="0">
                  <c:v>-0.99</c:v>
                </c:pt>
                <c:pt idx="1">
                  <c:v>-0.98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-0.94</c:v>
                </c:pt>
                <c:pt idx="6">
                  <c:v>-0.93</c:v>
                </c:pt>
                <c:pt idx="7">
                  <c:v>-0.92</c:v>
                </c:pt>
                <c:pt idx="8">
                  <c:v>-0.91</c:v>
                </c:pt>
                <c:pt idx="9">
                  <c:v>-0.9</c:v>
                </c:pt>
                <c:pt idx="10">
                  <c:v>-0.89</c:v>
                </c:pt>
                <c:pt idx="11">
                  <c:v>-0.88</c:v>
                </c:pt>
                <c:pt idx="12">
                  <c:v>-0.87</c:v>
                </c:pt>
                <c:pt idx="13">
                  <c:v>-0.86</c:v>
                </c:pt>
                <c:pt idx="14">
                  <c:v>-0.85</c:v>
                </c:pt>
                <c:pt idx="15">
                  <c:v>-0.84</c:v>
                </c:pt>
                <c:pt idx="16">
                  <c:v>-0.83</c:v>
                </c:pt>
                <c:pt idx="17">
                  <c:v>-0.82</c:v>
                </c:pt>
                <c:pt idx="18">
                  <c:v>-0.81</c:v>
                </c:pt>
                <c:pt idx="19">
                  <c:v>-0.8</c:v>
                </c:pt>
                <c:pt idx="20">
                  <c:v>-0.79</c:v>
                </c:pt>
                <c:pt idx="21">
                  <c:v>-0.78</c:v>
                </c:pt>
                <c:pt idx="22">
                  <c:v>-0.77</c:v>
                </c:pt>
                <c:pt idx="23">
                  <c:v>-0.76</c:v>
                </c:pt>
                <c:pt idx="24">
                  <c:v>-0.75</c:v>
                </c:pt>
                <c:pt idx="25">
                  <c:v>-0.74</c:v>
                </c:pt>
                <c:pt idx="26">
                  <c:v>-0.73</c:v>
                </c:pt>
                <c:pt idx="27">
                  <c:v>-0.72</c:v>
                </c:pt>
                <c:pt idx="28">
                  <c:v>-0.71</c:v>
                </c:pt>
                <c:pt idx="29">
                  <c:v>-0.7</c:v>
                </c:pt>
                <c:pt idx="30">
                  <c:v>-0.69</c:v>
                </c:pt>
                <c:pt idx="31">
                  <c:v>-0.68</c:v>
                </c:pt>
                <c:pt idx="32">
                  <c:v>-0.67</c:v>
                </c:pt>
                <c:pt idx="33">
                  <c:v>-0.66</c:v>
                </c:pt>
                <c:pt idx="34">
                  <c:v>-0.65</c:v>
                </c:pt>
                <c:pt idx="35">
                  <c:v>-0.64</c:v>
                </c:pt>
                <c:pt idx="36">
                  <c:v>-0.63</c:v>
                </c:pt>
                <c:pt idx="37">
                  <c:v>-0.62</c:v>
                </c:pt>
                <c:pt idx="38">
                  <c:v>-0.61</c:v>
                </c:pt>
                <c:pt idx="39">
                  <c:v>-0.6</c:v>
                </c:pt>
                <c:pt idx="40">
                  <c:v>-0.59</c:v>
                </c:pt>
                <c:pt idx="41">
                  <c:v>-0.57999999999999996</c:v>
                </c:pt>
                <c:pt idx="42">
                  <c:v>-0.56999999999999995</c:v>
                </c:pt>
                <c:pt idx="43">
                  <c:v>-0.56000000000000005</c:v>
                </c:pt>
                <c:pt idx="44">
                  <c:v>-0.55000000000000004</c:v>
                </c:pt>
                <c:pt idx="45">
                  <c:v>-0.54</c:v>
                </c:pt>
                <c:pt idx="46">
                  <c:v>-0.53</c:v>
                </c:pt>
                <c:pt idx="47">
                  <c:v>-0.52</c:v>
                </c:pt>
                <c:pt idx="48">
                  <c:v>-0.51</c:v>
                </c:pt>
                <c:pt idx="49">
                  <c:v>-0.5</c:v>
                </c:pt>
                <c:pt idx="50">
                  <c:v>-0.49</c:v>
                </c:pt>
                <c:pt idx="51">
                  <c:v>-0.48</c:v>
                </c:pt>
                <c:pt idx="52">
                  <c:v>-0.47</c:v>
                </c:pt>
                <c:pt idx="53">
                  <c:v>-0.46</c:v>
                </c:pt>
                <c:pt idx="54">
                  <c:v>-0.45</c:v>
                </c:pt>
                <c:pt idx="55">
                  <c:v>-0.44</c:v>
                </c:pt>
                <c:pt idx="56">
                  <c:v>-0.43</c:v>
                </c:pt>
                <c:pt idx="57">
                  <c:v>-0.42</c:v>
                </c:pt>
                <c:pt idx="58">
                  <c:v>-0.41</c:v>
                </c:pt>
                <c:pt idx="59">
                  <c:v>-0.4</c:v>
                </c:pt>
                <c:pt idx="60">
                  <c:v>-0.39</c:v>
                </c:pt>
                <c:pt idx="61">
                  <c:v>-0.38</c:v>
                </c:pt>
                <c:pt idx="62">
                  <c:v>-0.37</c:v>
                </c:pt>
                <c:pt idx="63">
                  <c:v>-0.36</c:v>
                </c:pt>
                <c:pt idx="64">
                  <c:v>-0.35</c:v>
                </c:pt>
                <c:pt idx="65">
                  <c:v>-0.34</c:v>
                </c:pt>
                <c:pt idx="66">
                  <c:v>-0.33</c:v>
                </c:pt>
                <c:pt idx="67">
                  <c:v>-0.32</c:v>
                </c:pt>
                <c:pt idx="68">
                  <c:v>-0.31</c:v>
                </c:pt>
                <c:pt idx="69">
                  <c:v>-0.3</c:v>
                </c:pt>
                <c:pt idx="70">
                  <c:v>-0.28999999999999998</c:v>
                </c:pt>
                <c:pt idx="71">
                  <c:v>-0.28000000000000003</c:v>
                </c:pt>
                <c:pt idx="72">
                  <c:v>-0.27</c:v>
                </c:pt>
                <c:pt idx="73">
                  <c:v>-0.26</c:v>
                </c:pt>
                <c:pt idx="74">
                  <c:v>-0.25</c:v>
                </c:pt>
                <c:pt idx="75">
                  <c:v>-0.24</c:v>
                </c:pt>
                <c:pt idx="76">
                  <c:v>-0.23</c:v>
                </c:pt>
                <c:pt idx="77">
                  <c:v>-0.22</c:v>
                </c:pt>
                <c:pt idx="78">
                  <c:v>-0.21</c:v>
                </c:pt>
                <c:pt idx="79">
                  <c:v>-0.2</c:v>
                </c:pt>
                <c:pt idx="80">
                  <c:v>-0.19</c:v>
                </c:pt>
                <c:pt idx="81">
                  <c:v>-0.18</c:v>
                </c:pt>
                <c:pt idx="82">
                  <c:v>-0.17</c:v>
                </c:pt>
                <c:pt idx="83">
                  <c:v>-0.16</c:v>
                </c:pt>
                <c:pt idx="84">
                  <c:v>-0.15</c:v>
                </c:pt>
                <c:pt idx="85">
                  <c:v>-0.14000000000000001</c:v>
                </c:pt>
                <c:pt idx="86">
                  <c:v>-0.13</c:v>
                </c:pt>
                <c:pt idx="87">
                  <c:v>-0.12</c:v>
                </c:pt>
                <c:pt idx="88">
                  <c:v>-0.11</c:v>
                </c:pt>
                <c:pt idx="89">
                  <c:v>-0.1</c:v>
                </c:pt>
                <c:pt idx="90">
                  <c:v>-0.09</c:v>
                </c:pt>
                <c:pt idx="91">
                  <c:v>-0.08</c:v>
                </c:pt>
                <c:pt idx="92">
                  <c:v>-7.0000000000000007E-2</c:v>
                </c:pt>
                <c:pt idx="93">
                  <c:v>-0.06</c:v>
                </c:pt>
                <c:pt idx="94">
                  <c:v>-0.05</c:v>
                </c:pt>
                <c:pt idx="95">
                  <c:v>-0.04</c:v>
                </c:pt>
                <c:pt idx="96">
                  <c:v>-0.03</c:v>
                </c:pt>
                <c:pt idx="97">
                  <c:v>-0.02</c:v>
                </c:pt>
                <c:pt idx="98">
                  <c:v>-0.01</c:v>
                </c:pt>
              </c:numCache>
            </c:numRef>
          </c:cat>
          <c:val>
            <c:numRef>
              <c:f>Examplencurves!$D$2:$D$100</c:f>
              <c:numCache>
                <c:formatCode>General</c:formatCode>
                <c:ptCount val="99"/>
                <c:pt idx="0">
                  <c:v>35.036325657869327</c:v>
                </c:pt>
                <c:pt idx="1">
                  <c:v>40.214339989501077</c:v>
                </c:pt>
                <c:pt idx="2">
                  <c:v>44.121163036249534</c:v>
                </c:pt>
                <c:pt idx="3">
                  <c:v>47.448022397957118</c:v>
                </c:pt>
                <c:pt idx="4">
                  <c:v>50.439593790258186</c:v>
                </c:pt>
                <c:pt idx="5">
                  <c:v>53.214571622482602</c:v>
                </c:pt>
                <c:pt idx="6">
                  <c:v>55.840821930855846</c:v>
                </c:pt>
                <c:pt idx="7">
                  <c:v>58.361411101526777</c:v>
                </c:pt>
                <c:pt idx="8">
                  <c:v>60.80577285577133</c:v>
                </c:pt>
                <c:pt idx="9">
                  <c:v>63.19516871366968</c:v>
                </c:pt>
                <c:pt idx="10">
                  <c:v>65.545637700830028</c:v>
                </c:pt>
                <c:pt idx="11">
                  <c:v>67.869795535964471</c:v>
                </c:pt>
                <c:pt idx="12">
                  <c:v>70.177842729853595</c:v>
                </c:pt>
                <c:pt idx="13">
                  <c:v>72.478234568896269</c:v>
                </c:pt>
                <c:pt idx="14">
                  <c:v>74.778260871153378</c:v>
                </c:pt>
                <c:pt idx="15">
                  <c:v>77.084225714188207</c:v>
                </c:pt>
                <c:pt idx="16">
                  <c:v>79.401801408254656</c:v>
                </c:pt>
                <c:pt idx="17">
                  <c:v>81.736136663028063</c:v>
                </c:pt>
                <c:pt idx="18">
                  <c:v>84.091990893656558</c:v>
                </c:pt>
                <c:pt idx="19">
                  <c:v>86.473859264395742</c:v>
                </c:pt>
                <c:pt idx="20">
                  <c:v>88.886050569843832</c:v>
                </c:pt>
                <c:pt idx="21">
                  <c:v>91.332714516274095</c:v>
                </c:pt>
                <c:pt idx="22">
                  <c:v>93.817927439781798</c:v>
                </c:pt>
                <c:pt idx="23">
                  <c:v>96.345745544307533</c:v>
                </c:pt>
                <c:pt idx="24">
                  <c:v>98.92024249560049</c:v>
                </c:pt>
                <c:pt idx="25">
                  <c:v>101.54551090873318</c:v>
                </c:pt>
                <c:pt idx="26">
                  <c:v>104.22570326123115</c:v>
                </c:pt>
                <c:pt idx="27">
                  <c:v>106.96513477872236</c:v>
                </c:pt>
                <c:pt idx="28">
                  <c:v>109.76821359503455</c:v>
                </c:pt>
                <c:pt idx="29">
                  <c:v>112.63949775155442</c:v>
                </c:pt>
                <c:pt idx="30">
                  <c:v>115.58382748900218</c:v>
                </c:pt>
                <c:pt idx="31">
                  <c:v>118.60617824730039</c:v>
                </c:pt>
                <c:pt idx="32">
                  <c:v>121.71183751248057</c:v>
                </c:pt>
                <c:pt idx="33">
                  <c:v>124.90633075793288</c:v>
                </c:pt>
                <c:pt idx="34">
                  <c:v>128.1955666437735</c:v>
                </c:pt>
                <c:pt idx="35">
                  <c:v>131.58582051005038</c:v>
                </c:pt>
                <c:pt idx="36">
                  <c:v>135.08371732267491</c:v>
                </c:pt>
                <c:pt idx="37">
                  <c:v>138.69639117423185</c:v>
                </c:pt>
                <c:pt idx="38">
                  <c:v>142.43143360756929</c:v>
                </c:pt>
                <c:pt idx="39">
                  <c:v>146.29697522320112</c:v>
                </c:pt>
                <c:pt idx="40">
                  <c:v>150.30191341818053</c:v>
                </c:pt>
                <c:pt idx="41">
                  <c:v>154.45559916399012</c:v>
                </c:pt>
                <c:pt idx="42">
                  <c:v>158.76835268424043</c:v>
                </c:pt>
                <c:pt idx="43">
                  <c:v>163.25115895786237</c:v>
                </c:pt>
                <c:pt idx="44">
                  <c:v>167.91612068384686</c:v>
                </c:pt>
                <c:pt idx="45">
                  <c:v>172.77615993540888</c:v>
                </c:pt>
                <c:pt idx="46">
                  <c:v>177.84565470150605</c:v>
                </c:pt>
                <c:pt idx="47">
                  <c:v>183.14000974887978</c:v>
                </c:pt>
                <c:pt idx="48">
                  <c:v>188.6762342789965</c:v>
                </c:pt>
                <c:pt idx="49">
                  <c:v>194.47299832675307</c:v>
                </c:pt>
                <c:pt idx="50">
                  <c:v>200.55069974836294</c:v>
                </c:pt>
                <c:pt idx="51">
                  <c:v>206.93193271092417</c:v>
                </c:pt>
                <c:pt idx="52">
                  <c:v>213.64156453810097</c:v>
                </c:pt>
                <c:pt idx="53">
                  <c:v>220.70717645718958</c:v>
                </c:pt>
                <c:pt idx="54">
                  <c:v>228.1592427725223</c:v>
                </c:pt>
                <c:pt idx="55">
                  <c:v>236.03185898534383</c:v>
                </c:pt>
                <c:pt idx="56">
                  <c:v>244.36302281288252</c:v>
                </c:pt>
                <c:pt idx="57">
                  <c:v>253.19509468393534</c:v>
                </c:pt>
                <c:pt idx="58">
                  <c:v>262.5757679863637</c:v>
                </c:pt>
                <c:pt idx="59">
                  <c:v>272.55870384988185</c:v>
                </c:pt>
                <c:pt idx="60">
                  <c:v>283.20442690024629</c:v>
                </c:pt>
                <c:pt idx="61">
                  <c:v>294.58182805513582</c:v>
                </c:pt>
                <c:pt idx="62">
                  <c:v>306.76877712023321</c:v>
                </c:pt>
                <c:pt idx="63">
                  <c:v>319.85456167703205</c:v>
                </c:pt>
                <c:pt idx="64">
                  <c:v>333.94157591179436</c:v>
                </c:pt>
                <c:pt idx="65">
                  <c:v>349.14738873060276</c:v>
                </c:pt>
                <c:pt idx="66">
                  <c:v>365.60815898801536</c:v>
                </c:pt>
                <c:pt idx="67">
                  <c:v>383.48198174032734</c:v>
                </c:pt>
                <c:pt idx="68">
                  <c:v>402.95326267741484</c:v>
                </c:pt>
                <c:pt idx="69">
                  <c:v>424.23903971788434</c:v>
                </c:pt>
                <c:pt idx="70">
                  <c:v>447.59474373945613</c:v>
                </c:pt>
                <c:pt idx="71">
                  <c:v>473.32409913596513</c:v>
                </c:pt>
                <c:pt idx="72">
                  <c:v>501.78953507048459</c:v>
                </c:pt>
                <c:pt idx="73">
                  <c:v>533.42726019936015</c:v>
                </c:pt>
                <c:pt idx="74">
                  <c:v>568.76616485798706</c:v>
                </c:pt>
                <c:pt idx="75">
                  <c:v>608.45145753164593</c:v>
                </c:pt>
                <c:pt idx="76">
                  <c:v>653.27722303413623</c:v>
                </c:pt>
                <c:pt idx="77">
                  <c:v>704.23090145226968</c:v>
                </c:pt>
                <c:pt idx="78">
                  <c:v>762.54952426152465</c:v>
                </c:pt>
                <c:pt idx="79">
                  <c:v>829.801113247123</c:v>
                </c:pt>
                <c:pt idx="80">
                  <c:v>907.99593578811857</c:v>
                </c:pt>
                <c:pt idx="81">
                  <c:v>999.74211936303516</c:v>
                </c:pt>
                <c:pt idx="82">
                  <c:v>1108.4687483210732</c:v>
                </c:pt>
                <c:pt idx="83">
                  <c:v>1238.755906677412</c:v>
                </c:pt>
                <c:pt idx="84">
                  <c:v>1396.8179052585833</c:v>
                </c:pt>
                <c:pt idx="85">
                  <c:v>1591.2564199726</c:v>
                </c:pt>
                <c:pt idx="86">
                  <c:v>1834.1970290388458</c:v>
                </c:pt>
                <c:pt idx="87">
                  <c:v>2143.2025427068293</c:v>
                </c:pt>
                <c:pt idx="88">
                  <c:v>2544.3721820895439</c:v>
                </c:pt>
                <c:pt idx="89">
                  <c:v>3078.2931571737981</c:v>
                </c:pt>
                <c:pt idx="90">
                  <c:v>3807.7798023528921</c:v>
                </c:pt>
                <c:pt idx="91">
                  <c:v>4841.2517827242709</c:v>
                </c:pt>
                <c:pt idx="92">
                  <c:v>6368.8960235640379</c:v>
                </c:pt>
                <c:pt idx="93">
                  <c:v>8754.4835559546627</c:v>
                </c:pt>
                <c:pt idx="94">
                  <c:v>12765.085618773166</c:v>
                </c:pt>
                <c:pt idx="95">
                  <c:v>20247.940552651125</c:v>
                </c:pt>
                <c:pt idx="96">
                  <c:v>36632.107630522172</c:v>
                </c:pt>
                <c:pt idx="97">
                  <c:v>84062.726862938871</c:v>
                </c:pt>
                <c:pt idx="98">
                  <c:v>343684.99942628277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C5-491E-8A1E-6AD9EF9E4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2556568"/>
        <c:axId val="622554272"/>
      </c:lineChart>
      <c:catAx>
        <c:axId val="622556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54272"/>
        <c:crosses val="autoZero"/>
        <c:auto val="1"/>
        <c:lblAlgn val="ctr"/>
        <c:lblOffset val="100"/>
        <c:noMultiLvlLbl val="0"/>
      </c:catAx>
      <c:valAx>
        <c:axId val="62255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5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ymbol" panose="05050102010706020507" pitchFamily="18" charset="2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Examplencurves!$B$1</c:f>
              <c:strCache>
                <c:ptCount val="1"/>
                <c:pt idx="0">
                  <c:v>a=0.10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Examplencurves!$A$2:$A$20</c:f>
              <c:numCache>
                <c:formatCode>General</c:formatCode>
                <c:ptCount val="19"/>
                <c:pt idx="0">
                  <c:v>-0.99</c:v>
                </c:pt>
                <c:pt idx="1">
                  <c:v>-0.98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-0.94</c:v>
                </c:pt>
                <c:pt idx="6">
                  <c:v>-0.93</c:v>
                </c:pt>
                <c:pt idx="7">
                  <c:v>-0.92</c:v>
                </c:pt>
                <c:pt idx="8">
                  <c:v>-0.91</c:v>
                </c:pt>
                <c:pt idx="9">
                  <c:v>-0.9</c:v>
                </c:pt>
                <c:pt idx="10">
                  <c:v>-0.89</c:v>
                </c:pt>
                <c:pt idx="11">
                  <c:v>-0.88</c:v>
                </c:pt>
                <c:pt idx="12">
                  <c:v>-0.87</c:v>
                </c:pt>
                <c:pt idx="13">
                  <c:v>-0.86</c:v>
                </c:pt>
                <c:pt idx="14">
                  <c:v>-0.85</c:v>
                </c:pt>
                <c:pt idx="15">
                  <c:v>-0.84</c:v>
                </c:pt>
                <c:pt idx="16">
                  <c:v>-0.83</c:v>
                </c:pt>
                <c:pt idx="17">
                  <c:v>-0.82</c:v>
                </c:pt>
                <c:pt idx="18">
                  <c:v>-0.81</c:v>
                </c:pt>
              </c:numCache>
            </c:numRef>
          </c:cat>
          <c:val>
            <c:numRef>
              <c:f>Examplencurves!$B$2:$B$20</c:f>
              <c:numCache>
                <c:formatCode>General</c:formatCode>
                <c:ptCount val="19"/>
                <c:pt idx="0">
                  <c:v>17.039646479333854</c:v>
                </c:pt>
                <c:pt idx="1">
                  <c:v>19.259660569905002</c:v>
                </c:pt>
                <c:pt idx="2">
                  <c:v>20.926223927828023</c:v>
                </c:pt>
                <c:pt idx="3">
                  <c:v>22.339782212535759</c:v>
                </c:pt>
                <c:pt idx="4">
                  <c:v>23.606555546797061</c:v>
                </c:pt>
                <c:pt idx="5">
                  <c:v>24.778007677632001</c:v>
                </c:pt>
                <c:pt idx="6">
                  <c:v>25.883520365312744</c:v>
                </c:pt>
                <c:pt idx="7">
                  <c:v>26.941705139707995</c:v>
                </c:pt>
                <c:pt idx="8">
                  <c:v>27.965258069457725</c:v>
                </c:pt>
                <c:pt idx="9">
                  <c:v>28.963305953340907</c:v>
                </c:pt>
                <c:pt idx="10">
                  <c:v>29.942759857472627</c:v>
                </c:pt>
                <c:pt idx="11">
                  <c:v>30.908963479963813</c:v>
                </c:pt>
                <c:pt idx="12">
                  <c:v>31.866250559118683</c:v>
                </c:pt>
                <c:pt idx="13">
                  <c:v>32.818197634816379</c:v>
                </c:pt>
                <c:pt idx="14">
                  <c:v>33.76785549425307</c:v>
                </c:pt>
                <c:pt idx="15">
                  <c:v>34.717839990353461</c:v>
                </c:pt>
                <c:pt idx="16">
                  <c:v>35.670485004847116</c:v>
                </c:pt>
                <c:pt idx="17">
                  <c:v>36.627880705822214</c:v>
                </c:pt>
                <c:pt idx="18">
                  <c:v>37.591972758481091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E9-4391-8857-BD5B3AF074EF}"/>
            </c:ext>
          </c:extLst>
        </c:ser>
        <c:ser>
          <c:idx val="3"/>
          <c:order val="1"/>
          <c:tx>
            <c:strRef>
              <c:f>Examplencurves!$C$1</c:f>
              <c:strCache>
                <c:ptCount val="1"/>
                <c:pt idx="0">
                  <c:v>a=0.05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Examplencurves!$A$2:$A$20</c:f>
              <c:numCache>
                <c:formatCode>General</c:formatCode>
                <c:ptCount val="19"/>
                <c:pt idx="0">
                  <c:v>-0.99</c:v>
                </c:pt>
                <c:pt idx="1">
                  <c:v>-0.98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-0.94</c:v>
                </c:pt>
                <c:pt idx="6">
                  <c:v>-0.93</c:v>
                </c:pt>
                <c:pt idx="7">
                  <c:v>-0.92</c:v>
                </c:pt>
                <c:pt idx="8">
                  <c:v>-0.91</c:v>
                </c:pt>
                <c:pt idx="9">
                  <c:v>-0.9</c:v>
                </c:pt>
                <c:pt idx="10">
                  <c:v>-0.89</c:v>
                </c:pt>
                <c:pt idx="11">
                  <c:v>-0.88</c:v>
                </c:pt>
                <c:pt idx="12">
                  <c:v>-0.87</c:v>
                </c:pt>
                <c:pt idx="13">
                  <c:v>-0.86</c:v>
                </c:pt>
                <c:pt idx="14">
                  <c:v>-0.85</c:v>
                </c:pt>
                <c:pt idx="15">
                  <c:v>-0.84</c:v>
                </c:pt>
                <c:pt idx="16">
                  <c:v>-0.83</c:v>
                </c:pt>
                <c:pt idx="17">
                  <c:v>-0.82</c:v>
                </c:pt>
                <c:pt idx="18">
                  <c:v>-0.81</c:v>
                </c:pt>
              </c:numCache>
            </c:numRef>
          </c:cat>
          <c:val>
            <c:numRef>
              <c:f>Examplencurves!$C$2:$C$20</c:f>
              <c:numCache>
                <c:formatCode>General</c:formatCode>
                <c:ptCount val="19"/>
                <c:pt idx="0">
                  <c:v>23.052745985512388</c:v>
                </c:pt>
                <c:pt idx="1">
                  <c:v>26.247367161508244</c:v>
                </c:pt>
                <c:pt idx="2">
                  <c:v>28.649713547587254</c:v>
                </c:pt>
                <c:pt idx="3">
                  <c:v>30.690115796886296</c:v>
                </c:pt>
                <c:pt idx="4">
                  <c:v>32.520768469951591</c:v>
                </c:pt>
                <c:pt idx="5">
                  <c:v>34.215456047335515</c:v>
                </c:pt>
                <c:pt idx="6">
                  <c:v>35.816306295842779</c:v>
                </c:pt>
                <c:pt idx="7">
                  <c:v>37.35005122090778</c:v>
                </c:pt>
                <c:pt idx="8">
                  <c:v>38.834903129359326</c:v>
                </c:pt>
                <c:pt idx="9">
                  <c:v>40.284000856520223</c:v>
                </c:pt>
                <c:pt idx="10">
                  <c:v>41.707253044730102</c:v>
                </c:pt>
                <c:pt idx="11">
                  <c:v>43.112403865793389</c:v>
                </c:pt>
                <c:pt idx="12">
                  <c:v>44.505691567896896</c:v>
                </c:pt>
                <c:pt idx="13">
                  <c:v>45.892305163300932</c:v>
                </c:pt>
                <c:pt idx="14">
                  <c:v>47.276643378880969</c:v>
                </c:pt>
                <c:pt idx="15">
                  <c:v>48.662522523826624</c:v>
                </c:pt>
                <c:pt idx="16">
                  <c:v>50.053361718025691</c:v>
                </c:pt>
                <c:pt idx="17">
                  <c:v>51.452233113924692</c:v>
                </c:pt>
                <c:pt idx="18">
                  <c:v>52.861946400806318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E9-4391-8857-BD5B3AF074EF}"/>
            </c:ext>
          </c:extLst>
        </c:ser>
        <c:ser>
          <c:idx val="0"/>
          <c:order val="2"/>
          <c:tx>
            <c:strRef>
              <c:f>Examplencurves!$D$1</c:f>
              <c:strCache>
                <c:ptCount val="1"/>
                <c:pt idx="0">
                  <c:v>a=0.01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Examplencurves!$A$2:$A$20</c:f>
              <c:numCache>
                <c:formatCode>General</c:formatCode>
                <c:ptCount val="19"/>
                <c:pt idx="0">
                  <c:v>-0.99</c:v>
                </c:pt>
                <c:pt idx="1">
                  <c:v>-0.98</c:v>
                </c:pt>
                <c:pt idx="2">
                  <c:v>-0.97</c:v>
                </c:pt>
                <c:pt idx="3">
                  <c:v>-0.96</c:v>
                </c:pt>
                <c:pt idx="4">
                  <c:v>-0.95</c:v>
                </c:pt>
                <c:pt idx="5">
                  <c:v>-0.94</c:v>
                </c:pt>
                <c:pt idx="6">
                  <c:v>-0.93</c:v>
                </c:pt>
                <c:pt idx="7">
                  <c:v>-0.92</c:v>
                </c:pt>
                <c:pt idx="8">
                  <c:v>-0.91</c:v>
                </c:pt>
                <c:pt idx="9">
                  <c:v>-0.9</c:v>
                </c:pt>
                <c:pt idx="10">
                  <c:v>-0.89</c:v>
                </c:pt>
                <c:pt idx="11">
                  <c:v>-0.88</c:v>
                </c:pt>
                <c:pt idx="12">
                  <c:v>-0.87</c:v>
                </c:pt>
                <c:pt idx="13">
                  <c:v>-0.86</c:v>
                </c:pt>
                <c:pt idx="14">
                  <c:v>-0.85</c:v>
                </c:pt>
                <c:pt idx="15">
                  <c:v>-0.84</c:v>
                </c:pt>
                <c:pt idx="16">
                  <c:v>-0.83</c:v>
                </c:pt>
                <c:pt idx="17">
                  <c:v>-0.82</c:v>
                </c:pt>
                <c:pt idx="18">
                  <c:v>-0.81</c:v>
                </c:pt>
              </c:numCache>
            </c:numRef>
          </c:cat>
          <c:val>
            <c:numRef>
              <c:f>Examplencurves!$D$2:$D$20</c:f>
              <c:numCache>
                <c:formatCode>General</c:formatCode>
                <c:ptCount val="19"/>
                <c:pt idx="0">
                  <c:v>35.036325657869327</c:v>
                </c:pt>
                <c:pt idx="1">
                  <c:v>40.214339989501077</c:v>
                </c:pt>
                <c:pt idx="2">
                  <c:v>44.121163036249534</c:v>
                </c:pt>
                <c:pt idx="3">
                  <c:v>47.448022397957118</c:v>
                </c:pt>
                <c:pt idx="4">
                  <c:v>50.439593790258186</c:v>
                </c:pt>
                <c:pt idx="5">
                  <c:v>53.214571622482602</c:v>
                </c:pt>
                <c:pt idx="6">
                  <c:v>55.840821930855846</c:v>
                </c:pt>
                <c:pt idx="7">
                  <c:v>58.361411101526777</c:v>
                </c:pt>
                <c:pt idx="8">
                  <c:v>60.80577285577133</c:v>
                </c:pt>
                <c:pt idx="9">
                  <c:v>63.19516871366968</c:v>
                </c:pt>
                <c:pt idx="10">
                  <c:v>65.545637700830028</c:v>
                </c:pt>
                <c:pt idx="11">
                  <c:v>67.869795535964471</c:v>
                </c:pt>
                <c:pt idx="12">
                  <c:v>70.177842729853595</c:v>
                </c:pt>
                <c:pt idx="13">
                  <c:v>72.478234568896269</c:v>
                </c:pt>
                <c:pt idx="14">
                  <c:v>74.778260871153378</c:v>
                </c:pt>
                <c:pt idx="15">
                  <c:v>77.084225714188207</c:v>
                </c:pt>
                <c:pt idx="16">
                  <c:v>79.401801408254656</c:v>
                </c:pt>
                <c:pt idx="17">
                  <c:v>81.736136663028063</c:v>
                </c:pt>
                <c:pt idx="18">
                  <c:v>84.091990893656558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9-4391-8857-BD5B3AF07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2556568"/>
        <c:axId val="622554272"/>
      </c:lineChart>
      <c:catAx>
        <c:axId val="622556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54272"/>
        <c:crosses val="autoZero"/>
        <c:auto val="1"/>
        <c:lblAlgn val="ctr"/>
        <c:lblOffset val="100"/>
        <c:noMultiLvlLbl val="0"/>
      </c:catAx>
      <c:valAx>
        <c:axId val="62255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5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ymbol" panose="05050102010706020507" pitchFamily="18" charset="2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68580</xdr:rowOff>
        </xdr:from>
        <xdr:to>
          <xdr:col>1</xdr:col>
          <xdr:colOff>281940</xdr:colOff>
          <xdr:row>23</xdr:row>
          <xdr:rowOff>0</xdr:rowOff>
        </xdr:to>
        <xdr:sp macro="" textlink="">
          <xdr:nvSpPr>
            <xdr:cNvPr id="1026" name="cmdRunz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23</xdr:row>
          <xdr:rowOff>99060</xdr:rowOff>
        </xdr:from>
        <xdr:to>
          <xdr:col>1</xdr:col>
          <xdr:colOff>281940</xdr:colOff>
          <xdr:row>25</xdr:row>
          <xdr:rowOff>30480</xdr:rowOff>
        </xdr:to>
        <xdr:sp macro="" textlink="">
          <xdr:nvSpPr>
            <xdr:cNvPr id="1030" name="cmdRun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32</xdr:row>
          <xdr:rowOff>68580</xdr:rowOff>
        </xdr:from>
        <xdr:to>
          <xdr:col>2</xdr:col>
          <xdr:colOff>426720</xdr:colOff>
          <xdr:row>34</xdr:row>
          <xdr:rowOff>0</xdr:rowOff>
        </xdr:to>
        <xdr:sp macro="" textlink="">
          <xdr:nvSpPr>
            <xdr:cNvPr id="2049" name="cmdRunz2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32</xdr:row>
          <xdr:rowOff>68580</xdr:rowOff>
        </xdr:from>
        <xdr:to>
          <xdr:col>0</xdr:col>
          <xdr:colOff>1097280</xdr:colOff>
          <xdr:row>34</xdr:row>
          <xdr:rowOff>0</xdr:rowOff>
        </xdr:to>
        <xdr:sp macro="" textlink="">
          <xdr:nvSpPr>
            <xdr:cNvPr id="2050" name="cmdRunStudentt2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34</xdr:row>
          <xdr:rowOff>106680</xdr:rowOff>
        </xdr:from>
        <xdr:to>
          <xdr:col>0</xdr:col>
          <xdr:colOff>1104900</xdr:colOff>
          <xdr:row>36</xdr:row>
          <xdr:rowOff>38100</xdr:rowOff>
        </xdr:to>
        <xdr:sp macro="" textlink="">
          <xdr:nvSpPr>
            <xdr:cNvPr id="2051" name="cmdRunWelcht2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26</xdr:row>
          <xdr:rowOff>152400</xdr:rowOff>
        </xdr:from>
        <xdr:to>
          <xdr:col>1</xdr:col>
          <xdr:colOff>548640</xdr:colOff>
          <xdr:row>28</xdr:row>
          <xdr:rowOff>83820</xdr:rowOff>
        </xdr:to>
        <xdr:sp macro="" textlink="">
          <xdr:nvSpPr>
            <xdr:cNvPr id="3073" name="cmdRunzHed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328612</xdr:colOff>
      <xdr:row>3</xdr:row>
      <xdr:rowOff>38099</xdr:rowOff>
    </xdr:from>
    <xdr:to>
      <xdr:col>14</xdr:col>
      <xdr:colOff>361950</xdr:colOff>
      <xdr:row>26</xdr:row>
      <xdr:rowOff>104774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476250</xdr:colOff>
      <xdr:row>28</xdr:row>
      <xdr:rowOff>57150</xdr:rowOff>
    </xdr:from>
    <xdr:to>
      <xdr:col>14</xdr:col>
      <xdr:colOff>509588</xdr:colOff>
      <xdr:row>51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1"/>
  <sheetViews>
    <sheetView workbookViewId="0">
      <selection activeCell="C16" sqref="C16"/>
    </sheetView>
  </sheetViews>
  <sheetFormatPr defaultRowHeight="14.4" x14ac:dyDescent="0.3"/>
  <cols>
    <col min="1" max="1" width="12.109375" customWidth="1"/>
    <col min="4" max="4" width="12.33203125" customWidth="1"/>
    <col min="5" max="5" width="13.5546875" customWidth="1"/>
  </cols>
  <sheetData>
    <row r="1" spans="1:12" x14ac:dyDescent="0.3">
      <c r="A1" s="1" t="s">
        <v>9</v>
      </c>
      <c r="D1" s="1" t="s">
        <v>25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72</v>
      </c>
      <c r="L1" s="1" t="s">
        <v>15</v>
      </c>
    </row>
    <row r="2" spans="1:12" x14ac:dyDescent="0.3">
      <c r="A2" s="1" t="s">
        <v>0</v>
      </c>
      <c r="B2" s="3">
        <v>3</v>
      </c>
      <c r="D2">
        <v>2</v>
      </c>
      <c r="F2">
        <v>-0.8</v>
      </c>
      <c r="G2">
        <v>5.7963324841143853E-2</v>
      </c>
      <c r="H2">
        <f>((B9*B7)+(K2*G2))/(B9+K2)</f>
        <v>3.7182699932143555</v>
      </c>
      <c r="I2">
        <f>SQRT(((B9-1)*B8^2+(K2-1)*B16^2+(B9*K2)*(B7^2+G2^2-2*B7*G2)/(B9+K2))/(B9+K2-1))</f>
        <v>4.0507326555671836</v>
      </c>
      <c r="J2">
        <f>(_xlfn.NORM.S.INV(0.975)*I2*SQRT(B9+K2)-B9*(B7-B2))/(G2-B2)</f>
        <v>22.176556859024462</v>
      </c>
      <c r="K2">
        <v>22.176557330547674</v>
      </c>
      <c r="L2">
        <f t="shared" ref="L2:L41" si="0">ABS(J2-K2)</f>
        <v>4.715232115870549E-7</v>
      </c>
    </row>
    <row r="3" spans="1:12" x14ac:dyDescent="0.3">
      <c r="A3" s="1" t="s">
        <v>2</v>
      </c>
      <c r="B3" s="3">
        <v>2.5000000000000001E-2</v>
      </c>
      <c r="D3">
        <v>3</v>
      </c>
      <c r="F3">
        <v>-0.78</v>
      </c>
      <c r="G3">
        <v>0.1315142417201153</v>
      </c>
      <c r="H3">
        <f>((B9*B7)+(K3*G3))/(B9+K3)</f>
        <v>3.7155231903028048</v>
      </c>
      <c r="I3">
        <f>SQRT(((B9-1)*B8^2+(K3-1)*B16^2+(B9*K3)*(B7^2+G3^2-2*B7*G3)/(B9+K3))/(B9+K3-1))</f>
        <v>4.0442936524577728</v>
      </c>
      <c r="J3">
        <f>(_xlfn.NORM.S.INV(0.975)*I3*SQRT(B9+K3)-B9*(B7-B2))/(G3-B2)</f>
        <v>22.725300214966204</v>
      </c>
      <c r="K3">
        <v>22.725300672568999</v>
      </c>
      <c r="L3">
        <f t="shared" si="0"/>
        <v>4.5760279476780852E-7</v>
      </c>
    </row>
    <row r="4" spans="1:12" x14ac:dyDescent="0.3">
      <c r="A4" s="1" t="s">
        <v>10</v>
      </c>
      <c r="B4" s="3" t="b">
        <v>1</v>
      </c>
      <c r="D4">
        <v>8</v>
      </c>
      <c r="F4">
        <v>-0.76</v>
      </c>
      <c r="G4">
        <v>0.20506515859908678</v>
      </c>
      <c r="H4">
        <f>((B9*B7)+(K4*G4))/(B9+K4)</f>
        <v>3.712709751849669</v>
      </c>
      <c r="I4">
        <f>SQRT(((B9-1)*B8^2+(K4-1)*B16^2+(B9*K4)*(B7^2+G4^2-2*B7*G4)/(B9+K4))/(B9+K4-1))</f>
        <v>4.0378167880046592</v>
      </c>
      <c r="J4">
        <f>(_xlfn.NORM.S.INV(0.975)*I4*SQRT(B9+K4)-B9*(B7-B2))/(G4-B2)</f>
        <v>23.300257791183064</v>
      </c>
      <c r="K4">
        <v>23.300258233772091</v>
      </c>
      <c r="L4">
        <f t="shared" si="0"/>
        <v>4.425890267611976E-7</v>
      </c>
    </row>
    <row r="5" spans="1:12" x14ac:dyDescent="0.3">
      <c r="A5" s="1" t="s">
        <v>5</v>
      </c>
      <c r="B5" s="6">
        <f>IF(B4=TRUE,_xlfn.NORM.S.INV(1-B3),_xlfn.NORM.S.INV(B3))</f>
        <v>1.9599639845400536</v>
      </c>
      <c r="D5">
        <v>6</v>
      </c>
      <c r="F5">
        <v>-0.74</v>
      </c>
      <c r="G5">
        <v>0.27861607547805822</v>
      </c>
      <c r="H5">
        <f>((B9*B7)+(K5*G5))/(B9+K5)</f>
        <v>3.7098258567551503</v>
      </c>
      <c r="I5">
        <f>SQRT(((B9-1)*B8^2+(K5-1)*B16^2+(B9*K5)*(B7^2+G5^2-2*B7*G5)/(B9+K5))/(B9+K5-1))</f>
        <v>4.0313012888982396</v>
      </c>
      <c r="J5">
        <f>(_xlfn.NORM.S.INV(0.975)*I5*SQRT(B9+K5)-B9*(B7-B2))/(G5-B2)</f>
        <v>23.903351321921949</v>
      </c>
      <c r="K5">
        <v>23.90335174841983</v>
      </c>
      <c r="L5">
        <f t="shared" si="0"/>
        <v>4.2649788056792204E-7</v>
      </c>
    </row>
    <row r="6" spans="1:12" x14ac:dyDescent="0.3">
      <c r="A6" s="1" t="s">
        <v>8</v>
      </c>
      <c r="B6" s="6">
        <f>IF(B4=TRUE,_xlfn.T.INV(1-B3,B9-1),_xlfn.T.INV(B3,B9-1))</f>
        <v>1.9842169515864165</v>
      </c>
      <c r="D6">
        <v>4</v>
      </c>
      <c r="F6">
        <v>-0.72</v>
      </c>
      <c r="G6">
        <v>0.3521669923570297</v>
      </c>
      <c r="H6">
        <f>((B9*B7)+(K6*G6))/(B9+K6)</f>
        <v>3.7068673610208456</v>
      </c>
      <c r="I6">
        <f>SQRT(((B9-1)*B8^2+(K6-1)*B16^2+(B9*K6)*(B7^2+G6^2-2*B7*G6)/(B9+K6))/(B9+K6-1))</f>
        <v>4.0247463340158909</v>
      </c>
      <c r="J6">
        <f>(_xlfn.NORM.S.INV(0.975)*I6*SQRT(B9+K6)-B9*(B7-B2))/(G6-B2)</f>
        <v>24.536695823428698</v>
      </c>
      <c r="K6">
        <v>24.536696232784863</v>
      </c>
      <c r="L6">
        <f t="shared" si="0"/>
        <v>4.0935616496540206E-7</v>
      </c>
    </row>
    <row r="7" spans="1:12" x14ac:dyDescent="0.3">
      <c r="A7" s="1" t="s">
        <v>1</v>
      </c>
      <c r="B7" s="6">
        <f>AVERAGE(D2:D100000)</f>
        <v>4.53</v>
      </c>
      <c r="D7">
        <v>4</v>
      </c>
      <c r="F7">
        <v>-0.7</v>
      </c>
      <c r="G7">
        <v>0.42571790923600117</v>
      </c>
      <c r="H7">
        <f>((B9*B7)+(K7*G7))/(B9+K7)</f>
        <v>3.7038297491959238</v>
      </c>
      <c r="I7">
        <f>SQRT(((B9-1)*B8^2+(K7-1)*B16^2+(B9*K7)*(B7^2+G7^2-2*B7*G7)/(B9+K7))/(B9+K7-1))</f>
        <v>4.0181510532878777</v>
      </c>
      <c r="J7">
        <f>(_xlfn.NORM.S.INV(0.975)*I7*SQRT(B9+K7)-B9*(B7-B2))/(G7-B2)</f>
        <v>25.202624523929529</v>
      </c>
      <c r="K7">
        <v>25.202625509390082</v>
      </c>
      <c r="L7">
        <f t="shared" si="0"/>
        <v>9.8546055227188845E-7</v>
      </c>
    </row>
    <row r="8" spans="1:12" x14ac:dyDescent="0.3">
      <c r="A8" s="1" t="s">
        <v>4</v>
      </c>
      <c r="B8" s="6">
        <f>_xlfn.STDEV.S(D2:D100000)</f>
        <v>3.6775458439485744</v>
      </c>
      <c r="D8">
        <v>6</v>
      </c>
      <c r="F8">
        <v>-0.68</v>
      </c>
      <c r="G8">
        <v>0.49926882611497264</v>
      </c>
      <c r="H8">
        <f>((B9*B7)+(K8*G8))/(B9+K8)</f>
        <v>3.7007081463877611</v>
      </c>
      <c r="I8">
        <f>SQRT(((B9-1)*B8^2+(K8-1)*B16^2+(B9*K8)*(B7^2+G8^2-2*B7*G8)/(B9+K8))/(B9+K8-1))</f>
        <v>4.0115145053671846</v>
      </c>
      <c r="J8">
        <f>(_xlfn.NORM.S.INV(0.975)*I8*SQRT(B9+K8)-B9*(B7-B2))/(G8-B2)</f>
        <v>25.903718315008696</v>
      </c>
      <c r="K8">
        <v>25.903719254050294</v>
      </c>
      <c r="L8">
        <f t="shared" si="0"/>
        <v>9.3904159825797251E-7</v>
      </c>
    </row>
    <row r="9" spans="1:12" x14ac:dyDescent="0.3">
      <c r="A9" s="1" t="s">
        <v>3</v>
      </c>
      <c r="B9" s="6">
        <f>COUNT(D2:D100000)</f>
        <v>100</v>
      </c>
      <c r="D9">
        <v>4</v>
      </c>
      <c r="F9">
        <v>-0.66</v>
      </c>
      <c r="G9">
        <v>0.57281974299394411</v>
      </c>
      <c r="H9">
        <f>((B9*B7)+(K9*G9))/(B9+K9)</f>
        <v>3.6974971916898998</v>
      </c>
      <c r="I9">
        <f>SQRT(((B9-1)*B8^2+(K9-1)*B16^2+(B9*K9)*(B7^2+G9^2-2*B7*G9)/(B9+K9))/(B9+K9-1))</f>
        <v>4.0048356962192955</v>
      </c>
      <c r="J9">
        <f>(_xlfn.NORM.S.INV(0.975)*I9*SQRT(B9+K9)-B9*(B7-B2))/(G9-B2)</f>
        <v>26.642838954004638</v>
      </c>
      <c r="K9">
        <v>26.642839844398488</v>
      </c>
      <c r="L9">
        <f t="shared" si="0"/>
        <v>8.9039384931766108E-7</v>
      </c>
    </row>
    <row r="10" spans="1:12" x14ac:dyDescent="0.3">
      <c r="A10" s="1" t="s">
        <v>6</v>
      </c>
      <c r="B10" s="6">
        <f>(B7-B2)/B8</f>
        <v>0.41603832145767133</v>
      </c>
      <c r="D10">
        <v>2</v>
      </c>
      <c r="F10">
        <v>-0.64</v>
      </c>
      <c r="G10">
        <v>0.64637065987291553</v>
      </c>
      <c r="H10">
        <f>((B9*B7)+(K10*G10))/(B9+K10)</f>
        <v>3.6941910397145348</v>
      </c>
      <c r="I10">
        <f>SQRT(((B9-1)*B8^2+(K10-1)*B16^2+(B9*K10)*(B7^2+G10^2-2*B7*G10)/(B9+K10))/(B9+K10-1))</f>
        <v>3.9981135540659225</v>
      </c>
      <c r="J10">
        <f>(_xlfn.NORM.S.INV(0.975)*I10*SQRT(B9+K10)-B9*(B7-B2))/(G10-B2)</f>
        <v>27.423169036501886</v>
      </c>
      <c r="K10">
        <v>27.423169876201772</v>
      </c>
      <c r="L10">
        <f t="shared" si="0"/>
        <v>8.3969988651233507E-7</v>
      </c>
    </row>
    <row r="11" spans="1:12" x14ac:dyDescent="0.3">
      <c r="A11" s="1" t="s">
        <v>11</v>
      </c>
      <c r="B11" s="6">
        <f>B10*SQRT(B9)</f>
        <v>4.1603832145767132</v>
      </c>
      <c r="D11">
        <v>5</v>
      </c>
      <c r="F11">
        <v>-0.62</v>
      </c>
      <c r="G11">
        <v>0.71992157675188706</v>
      </c>
      <c r="H11">
        <f>((B9*B7)+(K11*G11))/(B9+K11)</f>
        <v>3.6907832858880809</v>
      </c>
      <c r="I11">
        <f>SQRT(((B9-1)*B8^2+(K11-1)*B16^2+(B9*K11)*(B7^2+G11^2-2*B7*G11)/(B9+K11))/(B9+K11-1))</f>
        <v>3.9913469248962357</v>
      </c>
      <c r="J11">
        <f>(_xlfn.NORM.S.INV(0.975)*I11*SQRT(B9+K11)-B9*(B7-B2))/(G11-B2)</f>
        <v>28.248258346895586</v>
      </c>
      <c r="K11">
        <v>28.248259134078957</v>
      </c>
      <c r="L11">
        <f t="shared" si="0"/>
        <v>7.8718337093164337E-7</v>
      </c>
    </row>
    <row r="12" spans="1:12" x14ac:dyDescent="0.3">
      <c r="A12" s="1" t="s">
        <v>13</v>
      </c>
      <c r="B12" s="6" t="b">
        <f>IF(B4=TRUE,IF(B11&gt;B5,TRUE,FALSE),IF(B11&lt;B5,TRUE,FALSE))</f>
        <v>1</v>
      </c>
      <c r="D12">
        <v>8</v>
      </c>
      <c r="F12">
        <v>-0.6</v>
      </c>
      <c r="G12">
        <v>0.79347249363085848</v>
      </c>
      <c r="H12">
        <f>((B9*B7)+(K12*G12))/(B9+K12)</f>
        <v>3.6872668963212485</v>
      </c>
      <c r="I12">
        <f>SQRT(((B9-1)*B8^2+(K12-1)*B16^2+(B9*K12)*(B7^2+G12^2-2*B7*G12)/(B9+K12))/(B9+K12-1))</f>
        <v>3.9845345621221533</v>
      </c>
      <c r="J12">
        <f>(_xlfn.NORM.S.INV(0.975)*I12*SQRT(B9+K12)-B9*(B7-B2))/(G12-B2)</f>
        <v>29.122078668771259</v>
      </c>
      <c r="K12">
        <v>29.12207940188334</v>
      </c>
      <c r="L12">
        <f t="shared" si="0"/>
        <v>7.331120812636982E-7</v>
      </c>
    </row>
    <row r="13" spans="1:12" x14ac:dyDescent="0.3">
      <c r="A13" s="1" t="s">
        <v>14</v>
      </c>
      <c r="B13" s="6" t="b">
        <f>IF(B4=TRUE,IF(B11&gt;B6,TRUE,FALSE),IF(B11&lt;B6,TRUE,FALSE))</f>
        <v>1</v>
      </c>
      <c r="D13">
        <v>10</v>
      </c>
      <c r="F13">
        <v>-0.57999999999999996</v>
      </c>
      <c r="G13">
        <v>0.86702341050983001</v>
      </c>
      <c r="H13">
        <f>((B9*B7)+(K13*G13))/(B9+K13)</f>
        <v>3.6836341266604546</v>
      </c>
      <c r="I13">
        <f>SQRT(((B9-1)*B8^2+(K13-1)*B16^2+(B9*K13)*(B7^2+G13^2-2*B7*G13)/(B9+K13))/(B9+K13-1))</f>
        <v>3.9776751145461473</v>
      </c>
      <c r="J13">
        <f>(_xlfn.NORM.S.INV(0.975)*I13*SQRT(B9+K13)-B9*(B7-B2))/(G13-B2)</f>
        <v>30.049088764571742</v>
      </c>
      <c r="K13">
        <v>30.049089442372349</v>
      </c>
      <c r="L13">
        <f t="shared" si="0"/>
        <v>6.7780060675204368E-7</v>
      </c>
    </row>
    <row r="14" spans="1:12" x14ac:dyDescent="0.3">
      <c r="D14">
        <v>4</v>
      </c>
      <c r="F14">
        <v>-0.56000000000000005</v>
      </c>
      <c r="G14">
        <v>0.94057432738880142</v>
      </c>
      <c r="H14">
        <f>((B9*B7)+(K14*G14))/(B9+K14)</f>
        <v>3.6798764278103269</v>
      </c>
      <c r="I14">
        <f>SQRT(((B9-1)*B8^2+(K14-1)*B16^2+(B9*K14)*(B7^2+G14^2-2*B7*G14)/(B9+K14))/(B9+K14-1))</f>
        <v>3.9707671123062691</v>
      </c>
      <c r="J14">
        <f>(_xlfn.NORM.S.INV(0.975)*I14*SQRT(B9+K14)-B9*(B7-B2))/(G14-B2)</f>
        <v>31.034311806318101</v>
      </c>
      <c r="K14">
        <v>31.03431242793031</v>
      </c>
      <c r="L14">
        <f t="shared" si="0"/>
        <v>6.2161220881762347E-7</v>
      </c>
    </row>
    <row r="15" spans="1:12" x14ac:dyDescent="0.3">
      <c r="A15" s="1" t="s">
        <v>17</v>
      </c>
      <c r="B15" s="4">
        <v>1</v>
      </c>
      <c r="D15">
        <v>4</v>
      </c>
      <c r="F15">
        <v>-0.54</v>
      </c>
      <c r="G15">
        <v>1.0141252442677728</v>
      </c>
      <c r="H15">
        <f>((B9*B7)+(K15*G15))/(B9+K15)</f>
        <v>3.6759843359337712</v>
      </c>
      <c r="I15">
        <f>SQRT(((B9-1)*B8^2+(K15-1)*B16^2+(B9*K15)*(B7^2+G15^2-2*B7*G15)/(B9+K15))/(B9+K15-1))</f>
        <v>3.9638089503839629</v>
      </c>
      <c r="J15">
        <f>(_xlfn.NORM.S.INV(0.975)*I15*SQRT(B9+K15)-B9*(B7-B2))/(G15-B2)</f>
        <v>32.083428146201513</v>
      </c>
      <c r="K15">
        <v>32.083428711161375</v>
      </c>
      <c r="L15">
        <f t="shared" si="0"/>
        <v>5.649598620038887E-7</v>
      </c>
    </row>
    <row r="16" spans="1:12" x14ac:dyDescent="0.3">
      <c r="A16" s="1" t="s">
        <v>18</v>
      </c>
      <c r="B16" s="6">
        <f>B8*B15</f>
        <v>3.6775458439485744</v>
      </c>
      <c r="D16">
        <v>4</v>
      </c>
      <c r="F16">
        <v>-0.52</v>
      </c>
      <c r="G16">
        <v>1.0876761611467443</v>
      </c>
      <c r="H16">
        <f>((B9*B7)+(K16*G16))/(B9+K16)</f>
        <v>3.6719473435223229</v>
      </c>
      <c r="I16">
        <f>SQRT(((B9-1)*B8^2+(K16-1)*B16^2+(B9*K16)*(B7^2+G16^2-2*B7*G16)/(B9+K16))/(B9+K16-1))</f>
        <v>3.956798869159134</v>
      </c>
      <c r="J16">
        <f>(_xlfn.NORM.S.INV(0.975)*I16*SQRT(B9+K16)-B9*(B7-B2))/(G16-B2)</f>
        <v>33.202887111596247</v>
      </c>
      <c r="K16">
        <v>33.202887619902043</v>
      </c>
      <c r="L16">
        <f t="shared" si="0"/>
        <v>5.083057956767334E-7</v>
      </c>
    </row>
    <row r="17" spans="1:12" x14ac:dyDescent="0.3">
      <c r="A17" s="1" t="s">
        <v>78</v>
      </c>
      <c r="B17" s="3">
        <v>-0.8</v>
      </c>
      <c r="D17">
        <v>2</v>
      </c>
      <c r="F17">
        <v>-0.5</v>
      </c>
      <c r="G17">
        <v>1.1612270780257159</v>
      </c>
      <c r="H17">
        <f>((B9*B7)+(K17*G17))/(B9+K17)</f>
        <v>3.6677537475441957</v>
      </c>
      <c r="I17">
        <f>SQRT(((B9-1)*B8^2+(K17-1)*B16^2+(B9*K17)*(B7^2+G17^2-2*B7*G17)/(B9+K17))/(B9+K17-1))</f>
        <v>3.9497349313670287</v>
      </c>
      <c r="J17">
        <f>(_xlfn.NORM.S.INV(0.975)*I17*SQRT(B9+K17)-B9*(B7-B2))/(G17-B2)</f>
        <v>34.40004256120509</v>
      </c>
      <c r="K17">
        <v>34.400043013364254</v>
      </c>
      <c r="L17">
        <f t="shared" si="0"/>
        <v>4.5215916344432117E-7</v>
      </c>
    </row>
    <row r="18" spans="1:12" x14ac:dyDescent="0.3">
      <c r="A18" s="1" t="s">
        <v>7</v>
      </c>
      <c r="B18" s="3">
        <f>0.8</f>
        <v>0.8</v>
      </c>
      <c r="D18">
        <v>1</v>
      </c>
      <c r="F18">
        <v>-0.48</v>
      </c>
      <c r="G18">
        <v>1.2347779949046873</v>
      </c>
      <c r="H18">
        <f>((B9*B7)+(K18*G18))/(B9+K18)</f>
        <v>3.6633904696646753</v>
      </c>
      <c r="I18">
        <f>SQRT(((B9-1)*B8^2+(K18-1)*B16^2+(B9*K18)*(B7^2+G18^2-2*B7*G18)/(B9+K18))/(B9+K18-1))</f>
        <v>3.9426149946430367</v>
      </c>
      <c r="J18">
        <f>(_xlfn.NORM.S.INV(0.975)*I18*SQRT(B9+K18)-B9*(B7-B2))/(G18-B2)</f>
        <v>35.68331834322985</v>
      </c>
      <c r="K18">
        <v>35.683318740301253</v>
      </c>
      <c r="L18">
        <f t="shared" si="0"/>
        <v>3.9707140331302071E-7</v>
      </c>
    </row>
    <row r="19" spans="1:12" x14ac:dyDescent="0.3">
      <c r="A19" s="1" t="s">
        <v>12</v>
      </c>
      <c r="B19" s="3">
        <v>0.02</v>
      </c>
      <c r="D19">
        <v>3</v>
      </c>
      <c r="F19">
        <v>-0.46</v>
      </c>
      <c r="G19">
        <v>1.3083289117836587</v>
      </c>
      <c r="H19">
        <f>((B9*B7)+(K19*G19))/(B9+K19)</f>
        <v>3.6588428344636754</v>
      </c>
      <c r="I19">
        <f>SQRT(((B9-1)*B8^2+(K19-1)*B16^2+(B9*K19)*(B7^2+G19^2-2*B7*G19)/(B9+K19))/(B9+K19-1))</f>
        <v>3.9354366801247025</v>
      </c>
      <c r="J19">
        <f>(_xlfn.NORM.S.INV(0.975)*I19*SQRT(B9+K19)-B9*(B7-B2))/(G19-B2)</f>
        <v>37.062411580703319</v>
      </c>
      <c r="K19">
        <v>37.062412484800191</v>
      </c>
      <c r="L19">
        <f t="shared" si="0"/>
        <v>9.0409687203418798E-7</v>
      </c>
    </row>
    <row r="20" spans="1:12" x14ac:dyDescent="0.3">
      <c r="A20" s="1" t="s">
        <v>24</v>
      </c>
      <c r="B20" s="5">
        <v>1E-8</v>
      </c>
      <c r="D20">
        <v>2</v>
      </c>
      <c r="F20">
        <v>-0.44</v>
      </c>
      <c r="G20">
        <v>1.3818798286626301</v>
      </c>
      <c r="H20">
        <f>((B9*B7)+(K20*G20))/(B9+K20)</f>
        <v>3.6540943455108552</v>
      </c>
      <c r="I20">
        <f>SQRT(((B9-1)*B8^2+(K20-1)*B16^2+(B9*K20)*(B7^2+G20^2-2*B7*G20)/(B9+K20))/(B9+K20-1))</f>
        <v>3.9281973264301819</v>
      </c>
      <c r="J20">
        <f>(_xlfn.NORM.S.INV(0.975)*I20*SQRT(B9+K20)-B9*(B7-B2))/(G20-B2)</f>
        <v>38.548545059908797</v>
      </c>
      <c r="K20">
        <v>38.5485458346648</v>
      </c>
      <c r="L20">
        <f t="shared" si="0"/>
        <v>7.7475600335219497E-7</v>
      </c>
    </row>
    <row r="21" spans="1:12" x14ac:dyDescent="0.3">
      <c r="A21" s="1" t="s">
        <v>16</v>
      </c>
      <c r="B21" s="3">
        <v>6</v>
      </c>
      <c r="D21">
        <v>10</v>
      </c>
      <c r="F21">
        <v>-0.42</v>
      </c>
      <c r="G21">
        <v>1.4554307455416018</v>
      </c>
      <c r="H21">
        <f>((B9*B7)+(K21*G21))/(B9+K21)</f>
        <v>3.6491263255248971</v>
      </c>
      <c r="I21">
        <f>SQRT(((B9-1)*B8^2+(K21-1)*B16^2+(B9*K21)*(B7^2+G21^2-2*B7*G21)/(B9+K21))/(B9+K21-1))</f>
        <v>3.9208939515859269</v>
      </c>
      <c r="J21">
        <f>(_xlfn.NORM.S.INV(0.975)*I21*SQRT(B9+K21)-B9*(B7-B2))/(G21-B2)</f>
        <v>40.154781192728045</v>
      </c>
      <c r="K21">
        <v>40.154781844516961</v>
      </c>
      <c r="L21">
        <f t="shared" si="0"/>
        <v>6.5178891617279078E-7</v>
      </c>
    </row>
    <row r="22" spans="1:12" x14ac:dyDescent="0.3">
      <c r="D22">
        <v>1</v>
      </c>
      <c r="F22">
        <v>-0.4</v>
      </c>
      <c r="G22">
        <v>1.5289816624205732</v>
      </c>
      <c r="H22">
        <f>((B9*B7)+(K22*G22))/(B9+K22)</f>
        <v>3.6439175768191778</v>
      </c>
      <c r="I22">
        <f>SQRT(((B9-1)*B8^2+(K22-1)*B16^2+(B9*K22)*(B7^2+G22^2-2*B7*G22)/(B9+K22))/(B9+K22-1))</f>
        <v>3.9135231870259632</v>
      </c>
      <c r="J22">
        <f>(_xlfn.NORM.S.INV(0.975)*I22*SQRT(B9+K22)-B9*(B7-B2))/(G22-B2)</f>
        <v>41.896418978792269</v>
      </c>
      <c r="K22">
        <v>41.896419515519227</v>
      </c>
      <c r="L22">
        <f t="shared" si="0"/>
        <v>5.3672695798923087E-7</v>
      </c>
    </row>
    <row r="23" spans="1:12" x14ac:dyDescent="0.3">
      <c r="D23">
        <v>3</v>
      </c>
      <c r="F23">
        <v>-0.38</v>
      </c>
      <c r="G23">
        <v>1.6025325792995446</v>
      </c>
      <c r="H23">
        <f>((B9*B7)+(K23*G23))/(B9+K23)</f>
        <v>3.6384439133023165</v>
      </c>
      <c r="I23">
        <f>SQRT(((B9-1)*B8^2+(K23-1)*B16^2+(B9*K23)*(B7^2+G23^2-2*B7*G23)/(B9+K23))/(B9+K23-1))</f>
        <v>3.9060812069633171</v>
      </c>
      <c r="J23">
        <f>(_xlfn.NORM.S.INV(0.975)*I23*SQRT(B9+K23)-B9*(B7-B2))/(G23-B2)</f>
        <v>43.791498334516291</v>
      </c>
      <c r="K23">
        <v>43.79149876555821</v>
      </c>
      <c r="L23">
        <f t="shared" si="0"/>
        <v>4.3104191860265928E-7</v>
      </c>
    </row>
    <row r="24" spans="1:12" x14ac:dyDescent="0.3">
      <c r="D24">
        <v>2</v>
      </c>
      <c r="F24">
        <v>-0.36</v>
      </c>
      <c r="G24">
        <v>1.676083496178516</v>
      </c>
      <c r="H24">
        <f>((B9*B7)+(K24*G24))/(B9+K24)</f>
        <v>3.632677588601541</v>
      </c>
      <c r="I24">
        <f>SQRT(((B9-1)*B8^2+(K24-1)*B16^2+(B9*K24)*(B7^2+G24^2-2*B7*G24)/(B9+K24))/(B9+K24-1))</f>
        <v>3.8985636391717735</v>
      </c>
      <c r="J24">
        <f>(_xlfn.NORM.S.INV(0.975)*I24*SQRT(B9+K24)-B9*(B7-B2))/(G24-B2)</f>
        <v>45.86144856426683</v>
      </c>
      <c r="K24">
        <v>45.861449488852614</v>
      </c>
      <c r="L24">
        <f t="shared" si="0"/>
        <v>9.2458578393461721E-7</v>
      </c>
    </row>
    <row r="25" spans="1:12" x14ac:dyDescent="0.3">
      <c r="D25">
        <v>3</v>
      </c>
      <c r="F25">
        <v>-0.34</v>
      </c>
      <c r="G25">
        <v>1.7496344130574875</v>
      </c>
      <c r="H25">
        <f>((B9*B7)+(K25*G25))/(B9+K25)</f>
        <v>3.6265866186779991</v>
      </c>
      <c r="I25">
        <f>SQRT(((B9-1)*B8^2+(K25-1)*B16^2+(B9*K25)*(B7^2+G25^2-2*B7*G25)/(B9+K25))/(B9+K25-1))</f>
        <v>3.8909654482041196</v>
      </c>
      <c r="J25">
        <f>(_xlfn.NORM.S.INV(0.975)*I25*SQRT(B9+K25)-B9*(B7-B2))/(G25-B2)</f>
        <v>48.131932469390186</v>
      </c>
      <c r="K25">
        <v>48.131933174256666</v>
      </c>
      <c r="L25">
        <f t="shared" si="0"/>
        <v>7.0486647985035233E-7</v>
      </c>
    </row>
    <row r="26" spans="1:12" x14ac:dyDescent="0.3">
      <c r="D26">
        <v>4</v>
      </c>
      <c r="F26">
        <v>-0.32</v>
      </c>
      <c r="G26">
        <v>1.8231853299364591</v>
      </c>
      <c r="H26">
        <f>((B9*B7)+(K26*G26))/(B9+K26)</f>
        <v>3.6201338543403643</v>
      </c>
      <c r="I26">
        <f>SQRT(((B9-1)*B8^2+(K26-1)*B16^2+(B9*K26)*(B7^2+G26^2-2*B7*G26)/(B9+K26))/(B9+K26-1))</f>
        <v>3.8832807985948743</v>
      </c>
      <c r="J26">
        <f>(_xlfn.NORM.S.INV(0.975)*I26*SQRT(B9+K26)-B9*(B7-B2))/(G26-B2)</f>
        <v>50.633956623283623</v>
      </c>
      <c r="K26">
        <v>50.633957139170846</v>
      </c>
      <c r="L26">
        <f t="shared" si="0"/>
        <v>5.1588722271844745E-7</v>
      </c>
    </row>
    <row r="27" spans="1:12" x14ac:dyDescent="0.3">
      <c r="D27">
        <v>3</v>
      </c>
      <c r="F27">
        <v>-0.3</v>
      </c>
      <c r="G27">
        <v>1.8967362468154305</v>
      </c>
      <c r="H27">
        <f>((B9*B7)+(K27*G27))/(B9+K27)</f>
        <v>3.613275887699543</v>
      </c>
      <c r="I27">
        <f>SQRT(((B9-1)*B8^2+(K27-1)*B16^2+(B9*K27)*(B7^2+G27^2-2*B7*G27)/(B9+K27))/(B9+K27-1))</f>
        <v>3.8755028671247764</v>
      </c>
      <c r="J27">
        <f>(_xlfn.NORM.S.INV(0.975)*I27*SQRT(B9+K27)-B9*(B7-B2))/(G27-B2)</f>
        <v>53.405356002336895</v>
      </c>
      <c r="K27">
        <v>53.405356361493247</v>
      </c>
      <c r="L27">
        <f t="shared" si="0"/>
        <v>3.5915635265837409E-7</v>
      </c>
    </row>
    <row r="28" spans="1:12" x14ac:dyDescent="0.3">
      <c r="D28">
        <v>5</v>
      </c>
      <c r="F28">
        <v>-0.28000000000000003</v>
      </c>
      <c r="G28">
        <v>1.9702871636944019</v>
      </c>
      <c r="H28">
        <f>((B9*B7)+(K28*G28))/(B9+K28)</f>
        <v>3.6059615939472907</v>
      </c>
      <c r="I28">
        <f>SQRT(((B9-1)*B8^2+(K28-1)*B16^2+(B9*K28)*(B7^2+G28^2-2*B7*G28)/(B9+K28))/(B9+K28-1))</f>
        <v>3.8676236070543646</v>
      </c>
      <c r="J28">
        <f>(_xlfn.NORM.S.INV(0.975)*I28*SQRT(B9+K28)-B9*(B7-B2))/(G28-B2)</f>
        <v>56.492806739521519</v>
      </c>
      <c r="K28">
        <v>56.492807429278287</v>
      </c>
      <c r="L28">
        <f t="shared" si="0"/>
        <v>6.8975676725813173E-7</v>
      </c>
    </row>
    <row r="29" spans="1:12" x14ac:dyDescent="0.3">
      <c r="D29">
        <v>2</v>
      </c>
      <c r="F29">
        <v>-0.26</v>
      </c>
      <c r="G29">
        <v>2.0438380805733734</v>
      </c>
      <c r="H29">
        <f>((B9*B7)+(K29*G29))/(B9+K29)</f>
        <v>3.5981302609689645</v>
      </c>
      <c r="I29">
        <f>SQRT(((B9-1)*B8^2+(K29-1)*B16^2+(B9*K29)*(B7^2+G29^2-2*B7*G29)/(B9+K29))/(B9+K29-1))</f>
        <v>3.8596334346209442</v>
      </c>
      <c r="J29">
        <f>(_xlfn.NORM.S.INV(0.975)*I29*SQRT(B9+K29)-B9*(B7-B2))/(G29-B2)</f>
        <v>59.954604684425455</v>
      </c>
      <c r="K29">
        <v>59.954605111238465</v>
      </c>
      <c r="L29">
        <f t="shared" si="0"/>
        <v>4.2681300982394532E-7</v>
      </c>
    </row>
    <row r="30" spans="1:12" x14ac:dyDescent="0.3">
      <c r="D30">
        <v>4</v>
      </c>
      <c r="F30">
        <v>-0.24</v>
      </c>
      <c r="G30">
        <v>2.1173889974523448</v>
      </c>
      <c r="H30">
        <f>((B9*B7)+(K30*G30))/(B9+K30)</f>
        <v>3.5897090605797439</v>
      </c>
      <c r="I30">
        <f>SQRT(((B9-1)*B8^2+(K30-1)*B16^2+(B9*K30)*(B7^2+G30^2-2*B7*G30)/(B9+K30))/(B9+K30-1))</f>
        <v>3.8515208158916159</v>
      </c>
      <c r="J30">
        <f>(_xlfn.NORM.S.INV(0.975)*I30*SQRT(B9+K30)-B9*(B7-B2))/(G30-B2)</f>
        <v>63.864573476172495</v>
      </c>
      <c r="K30">
        <v>63.864574216489075</v>
      </c>
      <c r="L30">
        <f t="shared" si="0"/>
        <v>7.4031657959494623E-7</v>
      </c>
    </row>
    <row r="31" spans="1:12" x14ac:dyDescent="0.3">
      <c r="D31">
        <v>1</v>
      </c>
      <c r="F31">
        <v>-0.22</v>
      </c>
      <c r="G31">
        <v>2.1909399143313162</v>
      </c>
      <c r="H31">
        <f>((B9*B7)+(K31*G31))/(B9+K31)</f>
        <v>3.580609715024726</v>
      </c>
      <c r="I31">
        <f>SQRT(((B9-1)*B8^2+(K31-1)*B16^2+(B9*K31)*(B7^2+G31^2-2*B7*G31)/(B9+K31))/(B9+K31-1))</f>
        <v>3.8432716985608253</v>
      </c>
      <c r="J31">
        <f>(_xlfn.NORM.S.INV(0.975)*I31*SQRT(B9+K31)-B9*(B7-B2))/(G31-B2)</f>
        <v>68.317688077528175</v>
      </c>
      <c r="K31">
        <v>68.31768845387252</v>
      </c>
      <c r="L31">
        <f t="shared" si="0"/>
        <v>3.7634434590927413E-7</v>
      </c>
    </row>
    <row r="32" spans="1:12" x14ac:dyDescent="0.3">
      <c r="D32">
        <v>2</v>
      </c>
      <c r="F32">
        <v>-0.2</v>
      </c>
      <c r="G32">
        <v>2.2644908312102876</v>
      </c>
      <c r="H32">
        <f>((B9*B7)+(K32*G32))/(B9+K32)</f>
        <v>3.5707238281053253</v>
      </c>
      <c r="I32">
        <f>SQRT(((B9-1)*B8^2+(K32-1)*B16^2+(B9*K32)*(B7^2+G32^2-2*B7*G32)/(B9+K32))/(B9+K32-1))</f>
        <v>3.8348687324710102</v>
      </c>
      <c r="J32">
        <f>(_xlfn.NORM.S.INV(0.975)*I32*SQRT(B9+K32)-B9*(B7-B2))/(G32-B2)</f>
        <v>73.438365680409049</v>
      </c>
      <c r="K32">
        <v>73.438366216050923</v>
      </c>
      <c r="L32">
        <f t="shared" si="0"/>
        <v>5.356418739665969E-7</v>
      </c>
    </row>
    <row r="33" spans="4:12" x14ac:dyDescent="0.3">
      <c r="D33">
        <v>9</v>
      </c>
      <c r="F33">
        <v>-0.18</v>
      </c>
      <c r="G33">
        <v>2.338041748089259</v>
      </c>
      <c r="H33">
        <f>((B9*B7)+(K33*G33))/(B9+K33)</f>
        <v>3.5599163837075078</v>
      </c>
      <c r="I33">
        <f>SQRT(((B9-1)*B8^2+(K33-1)*B16^2+(B9*K33)*(B7^2+G33^2-2*B7*G33)/(B9+K33))/(B9+K33-1))</f>
        <v>3.8262901590105769</v>
      </c>
      <c r="J33">
        <f>(_xlfn.NORM.S.INV(0.975)*I33*SQRT(B9+K33)-B9*(B7-B2))/(G33-B2)</f>
        <v>79.393055559015281</v>
      </c>
      <c r="K33">
        <v>79.39305621166659</v>
      </c>
      <c r="L33">
        <f t="shared" si="0"/>
        <v>6.5265130899661017E-7</v>
      </c>
    </row>
    <row r="34" spans="4:12" x14ac:dyDescent="0.3">
      <c r="D34">
        <v>1</v>
      </c>
      <c r="F34">
        <v>-0.16</v>
      </c>
      <c r="G34">
        <v>2.4115926649682304</v>
      </c>
      <c r="H34">
        <f>((B9*B7)+(K34*G34))/(B9+K34)</f>
        <v>3.5480162746298172</v>
      </c>
      <c r="I34">
        <f>SQRT(((B9-1)*B8^2+(K34-1)*B16^2+(B9*K34)*(B7^2+G34^2-2*B7*G34)/(B9+K34))/(B9+K34-1))</f>
        <v>3.8175081984677273</v>
      </c>
      <c r="J34">
        <f>(_xlfn.NORM.S.INV(0.975)*I34*SQRT(B9+K34)-B9*(B7-B2))/(G34-B2)</f>
        <v>86.410006812972924</v>
      </c>
      <c r="K34">
        <v>86.410007414630016</v>
      </c>
      <c r="L34">
        <f t="shared" si="0"/>
        <v>6.0165709214743401E-7</v>
      </c>
    </row>
    <row r="35" spans="4:12" x14ac:dyDescent="0.3">
      <c r="D35">
        <v>7</v>
      </c>
      <c r="F35">
        <v>-0.14000000000000001</v>
      </c>
      <c r="G35">
        <v>2.4851435818472014</v>
      </c>
      <c r="H35">
        <f>((B9*B7)+(K35*G35))/(B9+K35)</f>
        <v>3.534802147729275</v>
      </c>
      <c r="I35">
        <f>SQRT(((B9-1)*B8^2+(K35-1)*B16^2+(B9*K35)*(B7^2+G35^2-2*B7*G35)/(B9+K35))/(B9+K35-1))</f>
        <v>3.8084866237537636</v>
      </c>
      <c r="J35">
        <f>(_xlfn.NORM.S.INV(0.975)*I35*SQRT(B9+K35)-B9*(B7-B2))/(G35-B2)</f>
        <v>94.811577957380692</v>
      </c>
      <c r="K35">
        <v>94.811578223478534</v>
      </c>
      <c r="L35">
        <f t="shared" si="0"/>
        <v>2.6609784242737078E-7</v>
      </c>
    </row>
    <row r="36" spans="4:12" x14ac:dyDescent="0.3">
      <c r="D36">
        <v>17</v>
      </c>
      <c r="F36">
        <v>-0.12</v>
      </c>
      <c r="G36">
        <v>2.5586944987261728</v>
      </c>
      <c r="H36">
        <f>((B9*B7)+(K36*G36))/(B9+K36)</f>
        <v>3.5199803356859443</v>
      </c>
      <c r="I36">
        <f>SQRT(((B9-1)*B8^2+(K36-1)*B16^2+(B9*K36)*(B7^2+G36^2-2*B7*G36)/(B9+K36))/(B9+K36-1))</f>
        <v>3.7991769680055643</v>
      </c>
      <c r="J36">
        <f>(_xlfn.NORM.S.INV(0.975)*I36*SQRT(B9+K36)-B9*(B7-B2))/(G36-B2)</f>
        <v>105.06965020675194</v>
      </c>
      <c r="K36">
        <v>105.0696499917666</v>
      </c>
      <c r="L36">
        <f t="shared" si="0"/>
        <v>2.149853486344E-7</v>
      </c>
    </row>
    <row r="37" spans="4:12" x14ac:dyDescent="0.3">
      <c r="D37">
        <v>9</v>
      </c>
      <c r="F37">
        <v>-0.1</v>
      </c>
      <c r="G37">
        <v>2.6322454156051442</v>
      </c>
      <c r="H37">
        <f>((B9*B7)+(K37*G37))/(B9+K37)</f>
        <v>3.5031486957267117</v>
      </c>
      <c r="I37">
        <f>SQRT(((B9-1)*B8^2+(K37-1)*B16^2+(B9*K37)*(B7^2+G37^2-2*B7*G37)/(B9+K37))/(B9+K37-1))</f>
        <v>3.7895123019105905</v>
      </c>
      <c r="J37">
        <f>(_xlfn.NORM.S.INV(0.975)*I37*SQRT(B9+K37)-B9*(B7-B2))/(G37-B2)</f>
        <v>117.90646910792545</v>
      </c>
      <c r="K37">
        <v>117.90646880213293</v>
      </c>
      <c r="L37">
        <f t="shared" si="0"/>
        <v>3.0579251131257479E-7</v>
      </c>
    </row>
    <row r="38" spans="4:12" x14ac:dyDescent="0.3">
      <c r="D38">
        <v>9</v>
      </c>
      <c r="F38">
        <v>-0.08</v>
      </c>
      <c r="G38">
        <v>2.7057963324841157</v>
      </c>
      <c r="H38">
        <f>((B9*B7)+(K38*G38))/(B9+K38)</f>
        <v>3.4837334464368688</v>
      </c>
      <c r="I38">
        <f>SQRT(((B9-1)*B8^2+(K38-1)*B16^2+(B9*K38)*(B7^2+G38^2-2*B7*G38)/(B9+K38))/(B9+K38-1))</f>
        <v>3.7793963714907317</v>
      </c>
      <c r="J38">
        <f>(_xlfn.NORM.S.INV(0.975)*I38*SQRT(B9+K38)-B9*(B7-B2))/(G38-B2)</f>
        <v>134.49243351449906</v>
      </c>
      <c r="K38">
        <v>134.49243323113578</v>
      </c>
      <c r="L38">
        <f t="shared" si="0"/>
        <v>2.8336327773104131E-7</v>
      </c>
    </row>
    <row r="39" spans="4:12" x14ac:dyDescent="0.3">
      <c r="D39">
        <v>9</v>
      </c>
      <c r="F39">
        <v>-0.06</v>
      </c>
      <c r="G39">
        <v>2.7793472493630871</v>
      </c>
      <c r="H39">
        <f>((B9*B7)+(K39*G39))/(B9+K39)</f>
        <v>3.4608690957573955</v>
      </c>
      <c r="I39">
        <f>SQRT(((B9-1)*B8^2+(K39-1)*B16^2+(B9*K39)*(B7^2+G39^2-2*B7*G39)/(B9+K39))/(B9+K39-1))</f>
        <v>3.7686830148427495</v>
      </c>
      <c r="J39">
        <f>(_xlfn.NORM.S.INV(0.975)*I39*SQRT(B9+K39)-B9*(B7-B2))/(G39-B2)</f>
        <v>156.87404716613736</v>
      </c>
      <c r="K39">
        <v>156.87404738366035</v>
      </c>
      <c r="L39">
        <f t="shared" si="0"/>
        <v>2.1752299517174833E-7</v>
      </c>
    </row>
    <row r="40" spans="4:12" x14ac:dyDescent="0.3">
      <c r="D40">
        <v>4</v>
      </c>
      <c r="F40">
        <v>-0.04</v>
      </c>
      <c r="G40">
        <v>2.8528981662420585</v>
      </c>
      <c r="H40">
        <f>((B9*B7)+(K40*G40))/(B9+K40)</f>
        <v>3.4331417542080764</v>
      </c>
      <c r="I40">
        <f>SQRT(((B9-1)*B8^2+(K40-1)*B16^2+(B9*K40)*(B7^2+G40^2-2*B7*G40)/(B9+K40))/(B9+K40-1))</f>
        <v>3.7571324236444195</v>
      </c>
      <c r="J40">
        <f>(_xlfn.NORM.S.INV(0.975)*I40*SQRT(B9+K40)-B9*(B7-B2))/(G40-B2)</f>
        <v>189.03409934844828</v>
      </c>
      <c r="K40">
        <v>189.03410025379924</v>
      </c>
      <c r="L40">
        <f t="shared" si="0"/>
        <v>9.0535095864652249E-7</v>
      </c>
    </row>
    <row r="41" spans="4:12" x14ac:dyDescent="0.3">
      <c r="D41">
        <v>4</v>
      </c>
      <c r="F41">
        <v>-0.02</v>
      </c>
      <c r="G41">
        <v>2.9264490831210299</v>
      </c>
      <c r="H41">
        <f>((B9*B7)+(K41*G41))/(B9+K41)</f>
        <v>3.3979344490211192</v>
      </c>
      <c r="I41">
        <f>SQRT(((B9-1)*B8^2+(K41-1)*B16^2+(B9*K41)*(B7^2+G41^2-2*B7*G41)/(B9+K41))/(B9+K41-1))</f>
        <v>3.7443006619534791</v>
      </c>
      <c r="J41">
        <f>(_xlfn.NORM.S.INV(0.975)*I41*SQRT(B9+K41)-B9*(B7-B2))/(G41-B2)</f>
        <v>240.10619148393894</v>
      </c>
      <c r="K41">
        <v>240.10619053206699</v>
      </c>
      <c r="L41">
        <f t="shared" si="0"/>
        <v>9.5187195370272093E-7</v>
      </c>
    </row>
    <row r="42" spans="4:12" x14ac:dyDescent="0.3">
      <c r="D42">
        <v>1</v>
      </c>
    </row>
    <row r="43" spans="4:12" x14ac:dyDescent="0.3">
      <c r="D43">
        <v>1</v>
      </c>
    </row>
    <row r="44" spans="4:12" x14ac:dyDescent="0.3">
      <c r="D44">
        <v>1</v>
      </c>
    </row>
    <row r="45" spans="4:12" x14ac:dyDescent="0.3">
      <c r="D45">
        <v>3</v>
      </c>
    </row>
    <row r="46" spans="4:12" x14ac:dyDescent="0.3">
      <c r="D46">
        <v>1</v>
      </c>
    </row>
    <row r="47" spans="4:12" x14ac:dyDescent="0.3">
      <c r="D47">
        <v>6</v>
      </c>
    </row>
    <row r="48" spans="4:12" x14ac:dyDescent="0.3">
      <c r="D48">
        <v>3</v>
      </c>
    </row>
    <row r="49" spans="4:4" x14ac:dyDescent="0.3">
      <c r="D49">
        <v>3</v>
      </c>
    </row>
    <row r="50" spans="4:4" x14ac:dyDescent="0.3">
      <c r="D50">
        <v>2</v>
      </c>
    </row>
    <row r="51" spans="4:4" x14ac:dyDescent="0.3">
      <c r="D51">
        <v>5</v>
      </c>
    </row>
    <row r="52" spans="4:4" x14ac:dyDescent="0.3">
      <c r="D52">
        <v>1</v>
      </c>
    </row>
    <row r="53" spans="4:4" x14ac:dyDescent="0.3">
      <c r="D53">
        <v>3</v>
      </c>
    </row>
    <row r="54" spans="4:4" x14ac:dyDescent="0.3">
      <c r="D54">
        <v>3</v>
      </c>
    </row>
    <row r="55" spans="4:4" x14ac:dyDescent="0.3">
      <c r="D55">
        <v>14</v>
      </c>
    </row>
    <row r="56" spans="4:4" x14ac:dyDescent="0.3">
      <c r="D56">
        <v>2</v>
      </c>
    </row>
    <row r="57" spans="4:4" x14ac:dyDescent="0.3">
      <c r="D57">
        <v>3</v>
      </c>
    </row>
    <row r="58" spans="4:4" x14ac:dyDescent="0.3">
      <c r="D58">
        <v>9</v>
      </c>
    </row>
    <row r="59" spans="4:4" x14ac:dyDescent="0.3">
      <c r="D59">
        <v>6</v>
      </c>
    </row>
    <row r="60" spans="4:4" x14ac:dyDescent="0.3">
      <c r="D60">
        <v>6</v>
      </c>
    </row>
    <row r="61" spans="4:4" x14ac:dyDescent="0.3">
      <c r="D61">
        <v>3</v>
      </c>
    </row>
    <row r="62" spans="4:4" x14ac:dyDescent="0.3">
      <c r="D62">
        <v>5</v>
      </c>
    </row>
    <row r="63" spans="4:4" x14ac:dyDescent="0.3">
      <c r="D63">
        <v>1</v>
      </c>
    </row>
    <row r="64" spans="4:4" x14ac:dyDescent="0.3">
      <c r="D64">
        <v>4</v>
      </c>
    </row>
    <row r="65" spans="4:4" x14ac:dyDescent="0.3">
      <c r="D65">
        <v>6</v>
      </c>
    </row>
    <row r="66" spans="4:4" x14ac:dyDescent="0.3">
      <c r="D66">
        <v>11</v>
      </c>
    </row>
    <row r="67" spans="4:4" x14ac:dyDescent="0.3">
      <c r="D67">
        <v>22</v>
      </c>
    </row>
    <row r="68" spans="4:4" x14ac:dyDescent="0.3">
      <c r="D68">
        <v>1</v>
      </c>
    </row>
    <row r="69" spans="4:4" x14ac:dyDescent="0.3">
      <c r="D69">
        <v>9</v>
      </c>
    </row>
    <row r="70" spans="4:4" x14ac:dyDescent="0.3">
      <c r="D70">
        <v>6</v>
      </c>
    </row>
    <row r="71" spans="4:4" x14ac:dyDescent="0.3">
      <c r="D71">
        <v>5</v>
      </c>
    </row>
    <row r="72" spans="4:4" x14ac:dyDescent="0.3">
      <c r="D72">
        <v>2</v>
      </c>
    </row>
    <row r="73" spans="4:4" x14ac:dyDescent="0.3">
      <c r="D73">
        <v>2</v>
      </c>
    </row>
    <row r="74" spans="4:4" x14ac:dyDescent="0.3">
      <c r="D74">
        <v>5</v>
      </c>
    </row>
    <row r="75" spans="4:4" x14ac:dyDescent="0.3">
      <c r="D75">
        <v>4</v>
      </c>
    </row>
    <row r="76" spans="4:4" x14ac:dyDescent="0.3">
      <c r="D76">
        <v>3</v>
      </c>
    </row>
    <row r="77" spans="4:4" x14ac:dyDescent="0.3">
      <c r="D77">
        <v>6</v>
      </c>
    </row>
    <row r="78" spans="4:4" x14ac:dyDescent="0.3">
      <c r="D78">
        <v>1</v>
      </c>
    </row>
    <row r="79" spans="4:4" x14ac:dyDescent="0.3">
      <c r="D79">
        <v>5</v>
      </c>
    </row>
    <row r="80" spans="4:4" x14ac:dyDescent="0.3">
      <c r="D80">
        <v>1</v>
      </c>
    </row>
    <row r="81" spans="4:4" x14ac:dyDescent="0.3">
      <c r="D81">
        <v>6</v>
      </c>
    </row>
    <row r="82" spans="4:4" x14ac:dyDescent="0.3">
      <c r="D82">
        <v>17</v>
      </c>
    </row>
    <row r="83" spans="4:4" x14ac:dyDescent="0.3">
      <c r="D83">
        <v>1</v>
      </c>
    </row>
    <row r="84" spans="4:4" x14ac:dyDescent="0.3">
      <c r="D84">
        <v>2</v>
      </c>
    </row>
    <row r="85" spans="4:4" x14ac:dyDescent="0.3">
      <c r="D85">
        <v>4</v>
      </c>
    </row>
    <row r="86" spans="4:4" x14ac:dyDescent="0.3">
      <c r="D86">
        <v>5</v>
      </c>
    </row>
    <row r="87" spans="4:4" x14ac:dyDescent="0.3">
      <c r="D87">
        <v>4</v>
      </c>
    </row>
    <row r="88" spans="4:4" x14ac:dyDescent="0.3">
      <c r="D88">
        <v>4</v>
      </c>
    </row>
    <row r="89" spans="4:4" x14ac:dyDescent="0.3">
      <c r="D89">
        <v>3</v>
      </c>
    </row>
    <row r="90" spans="4:4" x14ac:dyDescent="0.3">
      <c r="D90">
        <v>2</v>
      </c>
    </row>
    <row r="91" spans="4:4" x14ac:dyDescent="0.3">
      <c r="D91">
        <v>3</v>
      </c>
    </row>
    <row r="92" spans="4:4" x14ac:dyDescent="0.3">
      <c r="D92">
        <v>3</v>
      </c>
    </row>
    <row r="93" spans="4:4" x14ac:dyDescent="0.3">
      <c r="D93">
        <v>5</v>
      </c>
    </row>
    <row r="94" spans="4:4" x14ac:dyDescent="0.3">
      <c r="D94">
        <v>2</v>
      </c>
    </row>
    <row r="95" spans="4:4" x14ac:dyDescent="0.3">
      <c r="D95">
        <v>3</v>
      </c>
    </row>
    <row r="96" spans="4:4" x14ac:dyDescent="0.3">
      <c r="D96">
        <v>3</v>
      </c>
    </row>
    <row r="97" spans="4:4" x14ac:dyDescent="0.3">
      <c r="D97">
        <v>2</v>
      </c>
    </row>
    <row r="98" spans="4:4" x14ac:dyDescent="0.3">
      <c r="D98">
        <v>10</v>
      </c>
    </row>
    <row r="99" spans="4:4" x14ac:dyDescent="0.3">
      <c r="D99">
        <v>2</v>
      </c>
    </row>
    <row r="100" spans="4:4" x14ac:dyDescent="0.3">
      <c r="D100">
        <v>4</v>
      </c>
    </row>
    <row r="101" spans="4:4" x14ac:dyDescent="0.3">
      <c r="D101">
        <v>2</v>
      </c>
    </row>
  </sheetData>
  <pageMargins left="0.7" right="0.7" top="0.75" bottom="0.75" header="0.3" footer="0.3"/>
  <pageSetup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0" r:id="rId4" name="cmdRunt">
          <controlPr defaultSize="0" autoLine="0" r:id="rId5">
            <anchor moveWithCells="1">
              <from>
                <xdr:col>0</xdr:col>
                <xdr:colOff>76200</xdr:colOff>
                <xdr:row>23</xdr:row>
                <xdr:rowOff>99060</xdr:rowOff>
              </from>
              <to>
                <xdr:col>1</xdr:col>
                <xdr:colOff>281940</xdr:colOff>
                <xdr:row>25</xdr:row>
                <xdr:rowOff>30480</xdr:rowOff>
              </to>
            </anchor>
          </controlPr>
        </control>
      </mc:Choice>
      <mc:Fallback>
        <control shapeId="1030" r:id="rId4" name="cmdRunt"/>
      </mc:Fallback>
    </mc:AlternateContent>
    <mc:AlternateContent xmlns:mc="http://schemas.openxmlformats.org/markup-compatibility/2006">
      <mc:Choice Requires="x14">
        <control shapeId="1026" r:id="rId6" name="cmdRunz">
          <controlPr defaultSize="0" autoLine="0" r:id="rId7">
            <anchor moveWithCells="1">
              <from>
                <xdr:col>0</xdr:col>
                <xdr:colOff>76200</xdr:colOff>
                <xdr:row>21</xdr:row>
                <xdr:rowOff>68580</xdr:rowOff>
              </from>
              <to>
                <xdr:col>1</xdr:col>
                <xdr:colOff>281940</xdr:colOff>
                <xdr:row>23</xdr:row>
                <xdr:rowOff>0</xdr:rowOff>
              </to>
            </anchor>
          </controlPr>
        </control>
      </mc:Choice>
      <mc:Fallback>
        <control shapeId="1026" r:id="rId6" name="cmdRun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1"/>
  <sheetViews>
    <sheetView workbookViewId="0">
      <selection activeCell="C7" sqref="C7"/>
    </sheetView>
  </sheetViews>
  <sheetFormatPr defaultRowHeight="14.4" x14ac:dyDescent="0.3"/>
  <cols>
    <col min="1" max="1" width="16.6640625" customWidth="1"/>
    <col min="2" max="2" width="10" bestFit="1" customWidth="1"/>
    <col min="3" max="3" width="12" bestFit="1" customWidth="1"/>
    <col min="14" max="14" width="15.5546875" customWidth="1"/>
    <col min="15" max="15" width="12" bestFit="1" customWidth="1"/>
  </cols>
  <sheetData>
    <row r="1" spans="1:21" x14ac:dyDescent="0.3">
      <c r="A1" s="1" t="s">
        <v>9</v>
      </c>
      <c r="D1" t="s">
        <v>31</v>
      </c>
      <c r="E1" t="s">
        <v>32</v>
      </c>
      <c r="G1" t="s">
        <v>19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15</v>
      </c>
    </row>
    <row r="2" spans="1:21" x14ac:dyDescent="0.3">
      <c r="A2" s="1" t="s">
        <v>30</v>
      </c>
      <c r="B2" s="3">
        <v>0</v>
      </c>
      <c r="D2">
        <v>18500</v>
      </c>
      <c r="E2">
        <v>18200</v>
      </c>
      <c r="G2">
        <v>-0.8</v>
      </c>
      <c r="H2">
        <v>-1582.21627046703</v>
      </c>
      <c r="I2">
        <f>((B8+B11)/2)+H2/2</f>
        <v>16124.891864766485</v>
      </c>
      <c r="J2">
        <f>((B8+B11)/2)-H2/2</f>
        <v>17707.108135233517</v>
      </c>
      <c r="K2">
        <f>((B8-B11)+(R2*H2))/(1+R2)</f>
        <v>493.19253676407646</v>
      </c>
      <c r="L2">
        <f>SQRT(((B10-1)*B9^2+(S2-1)*B25^2+(B10*S2)*(B8^2+I2^2-2*B8*I2)/(B10+S2))/(B10+S2-1))</f>
        <v>1974.9655069547593</v>
      </c>
      <c r="M2">
        <f>SQRT(((B13-1)*B12^2+(T2-1)*B26^2+(B13*T2)*(B11^2+J2^2-2*B11*J2)/(B13+T2))/(B13+T2-1))</f>
        <v>1982.1697250986126</v>
      </c>
      <c r="N2">
        <f>SQRT(((B10+S2-1)*L2^2+(B13+T2-1)*M2^2)/(B10+B13+S2+T2-2))</f>
        <v>1978.5708949591092</v>
      </c>
      <c r="O2">
        <f>B10+B13+S2+T2-2</f>
        <v>105.07366484735053</v>
      </c>
      <c r="P2">
        <f>SQRT(N2^2*(1/(B10+S2)+1/(B13+T2)))</f>
        <v>382.41971903943579</v>
      </c>
      <c r="Q2">
        <f>((B8-B11)-_xlfn.T.INV(0.9,O2)*P2-B2)/(_xlfn.T.INV(0.9,O2)*P2+B2-H2)</f>
        <v>7.0735987700991779E-2</v>
      </c>
      <c r="R2">
        <v>7.0736648473505248E-2</v>
      </c>
      <c r="S2">
        <f>R2*B10</f>
        <v>3.5368324236752624</v>
      </c>
      <c r="T2">
        <f>R2*B13</f>
        <v>3.5368324236752624</v>
      </c>
      <c r="U2">
        <f t="shared" ref="U2:U45" si="0">ABS(Q2-R2)</f>
        <v>6.6077251346940979E-7</v>
      </c>
    </row>
    <row r="3" spans="1:21" x14ac:dyDescent="0.3">
      <c r="A3" s="1" t="s">
        <v>2</v>
      </c>
      <c r="B3" s="3">
        <v>0.1</v>
      </c>
      <c r="D3">
        <v>14000</v>
      </c>
      <c r="E3">
        <v>16200</v>
      </c>
      <c r="G3">
        <v>-0.78</v>
      </c>
      <c r="H3">
        <v>-1542.6608637053562</v>
      </c>
      <c r="I3">
        <f>((B8+B11)/2)+H3/2</f>
        <v>16144.669568147321</v>
      </c>
      <c r="J3">
        <f>((B8+B11)/2)-H3/2</f>
        <v>17687.330431852679</v>
      </c>
      <c r="K3">
        <f>((B8-B11)+(R3*H3))/(1+R3)</f>
        <v>492.75000114965951</v>
      </c>
      <c r="L3">
        <f>SQRT(((B10-1)*B9^2+(S3-1)*B25^2+(B10*S3)*(B8^2+I3^2-2*B8*I3)/(B10+S3))/(B10+S3-1))</f>
        <v>1974.6729886656428</v>
      </c>
      <c r="M3">
        <f>SQRT(((B13-1)*B12^2+(T3-1)*B26^2+(B13*T3)*(B11^2+J3^2-2*B11*J3)/(B13+T3))/(B13+T3-1))</f>
        <v>1981.8784832977583</v>
      </c>
      <c r="N3">
        <f>SQRT(((B10+S3-1)*L3^2+(B13+T3-1)*M3^2)/(B10+B13+S3+T3-2))</f>
        <v>1978.2790165601418</v>
      </c>
      <c r="O3">
        <f>B10+B13+S3+T3-2</f>
        <v>105.23441155753235</v>
      </c>
      <c r="P3">
        <f>SQRT(N3^2*(1/(B10+S3)+1/(B13+T3)))</f>
        <v>382.07661162991315</v>
      </c>
      <c r="Q3">
        <f>((B8-B11)-_xlfn.T.INV(0.9,O3)*P3-B2)/(_xlfn.T.INV(0.9,O3)*P3+B2-H3)</f>
        <v>7.2343418912447291E-2</v>
      </c>
      <c r="R3">
        <v>7.2344115575323525E-2</v>
      </c>
      <c r="S3">
        <f>R3*B10</f>
        <v>3.6172057787661762</v>
      </c>
      <c r="T3">
        <f>R3*B13</f>
        <v>3.6172057787661762</v>
      </c>
      <c r="U3">
        <f t="shared" si="0"/>
        <v>6.9666287623448842E-7</v>
      </c>
    </row>
    <row r="4" spans="1:21" x14ac:dyDescent="0.3">
      <c r="A4" s="1" t="s">
        <v>10</v>
      </c>
      <c r="B4" s="3" t="b">
        <v>1</v>
      </c>
      <c r="D4">
        <v>18200</v>
      </c>
      <c r="E4">
        <v>17200</v>
      </c>
      <c r="G4">
        <v>-0.76</v>
      </c>
      <c r="H4">
        <v>-1503.1054569436803</v>
      </c>
      <c r="I4">
        <f>((B8+B11)/2)+H4/2</f>
        <v>16164.447271528159</v>
      </c>
      <c r="J4">
        <f>((B8+B11)/2)-H4/2</f>
        <v>17667.552728471841</v>
      </c>
      <c r="K4">
        <f>((B8-B11)+(R4*H4))/(1+R4)</f>
        <v>492.29189127484534</v>
      </c>
      <c r="L4">
        <f>SQRT(((B10-1)*B9^2+(S4-1)*B25^2+(B10*S4)*(B8^2+I4^2-2*B8*I4)/(B10+S4))/(B10+S4-1))</f>
        <v>1974.3812016016561</v>
      </c>
      <c r="M4">
        <f>SQRT(((B13-1)*B12^2+(T4-1)*B26^2+(B13*T4)*(B11^2+J4^2-2*B11*J4)/(B13+T4))/(B13+T4-1))</f>
        <v>1981.5879794026182</v>
      </c>
      <c r="N4">
        <f>SQRT(((B10+S4-1)*L4^2+(B13+T4-1)*M4^2)/(B10+B13+S4+T4-2))</f>
        <v>1977.9878727321548</v>
      </c>
      <c r="O4">
        <f>B10+B13+S4+T4-2</f>
        <v>105.40244086507519</v>
      </c>
      <c r="P4">
        <f>SQRT(N4^2*(1/(B10+S4)+1/(B13+T4)))</f>
        <v>381.72143212424396</v>
      </c>
      <c r="Q4">
        <f>((B8-B11)-_xlfn.T.INV(0.9,O4)*P4-B2)/(_xlfn.T.INV(0.9,O4)*P4+B2-H4)</f>
        <v>7.4023671691542073E-2</v>
      </c>
      <c r="R4">
        <v>7.4024408650751813E-2</v>
      </c>
      <c r="S4">
        <f>R4*B10</f>
        <v>3.7012204325375908</v>
      </c>
      <c r="T4">
        <f>R4*B13</f>
        <v>3.7012204325375908</v>
      </c>
      <c r="U4">
        <f t="shared" si="0"/>
        <v>7.3695920974059526E-7</v>
      </c>
    </row>
    <row r="5" spans="1:21" x14ac:dyDescent="0.3">
      <c r="A5" s="1" t="s">
        <v>5</v>
      </c>
      <c r="B5" s="6">
        <f>IF(B4=TRUE,_xlfn.NORM.S.INV(1-B3),_xlfn.NORM.S.INV(B3))</f>
        <v>1.2815515655446006</v>
      </c>
      <c r="D5">
        <v>21100</v>
      </c>
      <c r="E5">
        <v>18700</v>
      </c>
      <c r="G5">
        <v>-0.74</v>
      </c>
      <c r="H5">
        <v>-1463.5500501820045</v>
      </c>
      <c r="I5">
        <f>((B8+B11)/2)+H5/2</f>
        <v>16184.224974908997</v>
      </c>
      <c r="J5">
        <f>((B8+B11)/2)-H5/2</f>
        <v>17647.775025091003</v>
      </c>
      <c r="K5">
        <f>((B8-B11)+(R5*H5))/(1+R5)</f>
        <v>491.81719186670512</v>
      </c>
      <c r="L5">
        <f>SQRT(((B10-1)*B9^2+(S5-1)*B25^2+(B10*S5)*(B8^2+I5^2-2*B8*I5)/(B10+S5))/(B10+S5-1))</f>
        <v>1974.0902200433786</v>
      </c>
      <c r="M5">
        <f>SQRT(((B13-1)*B12^2+(T5-1)*B26^2+(B13*T5)*(B11^2+J5^2-2*B11*J5)/(B13+T5))/(B13+T5-1))</f>
        <v>1981.2982880033576</v>
      </c>
      <c r="N5">
        <f>SQRT(((B10+S5-1)*L5^2+(B13+T5-1)*M5^2)/(B10+B13+S5+T5-2))</f>
        <v>1977.6975379106825</v>
      </c>
      <c r="O5">
        <f>B10+B13+S5+T5-2</f>
        <v>105.5782597226104</v>
      </c>
      <c r="P5">
        <f>SQRT(N5^2*(1/(B10+S5)+1/(B13+T5)))</f>
        <v>381.35338994521385</v>
      </c>
      <c r="Q5">
        <f>((B8-B11)-_xlfn.T.INV(0.9,O5)*P5-B2)/(_xlfn.T.INV(0.9,O5)*P5+B2-H5)</f>
        <v>7.5781817640236615E-2</v>
      </c>
      <c r="R5">
        <v>7.5782597226103837E-2</v>
      </c>
      <c r="S5">
        <f>R5*B10</f>
        <v>3.789129861305192</v>
      </c>
      <c r="T5">
        <f>R5*B13</f>
        <v>3.789129861305192</v>
      </c>
      <c r="U5">
        <f t="shared" si="0"/>
        <v>7.795858672221545E-7</v>
      </c>
    </row>
    <row r="6" spans="1:21" x14ac:dyDescent="0.3">
      <c r="A6" s="1" t="s">
        <v>46</v>
      </c>
      <c r="B6" s="6">
        <f>IF(B4=TRUE,_xlfn.T.INV(1-B3,B10+B13-2),_xlfn.T.INV(B3,B10+B13-2))</f>
        <v>1.2902499038902864</v>
      </c>
      <c r="D6">
        <v>13900</v>
      </c>
      <c r="E6">
        <v>18400</v>
      </c>
      <c r="G6">
        <v>-0.72</v>
      </c>
      <c r="H6">
        <v>-1423.9946434203287</v>
      </c>
      <c r="I6">
        <f>((B8+B11)/2)+H6/2</f>
        <v>16204.002678289835</v>
      </c>
      <c r="J6">
        <f>((B8+B11)/2)-H6/2</f>
        <v>17627.997321710165</v>
      </c>
      <c r="K6">
        <f>((B8-B11)+(R6*H6))/(1+R6)</f>
        <v>491.32478098603889</v>
      </c>
      <c r="L6">
        <f>SQRT(((B10-1)*B9^2+(S6-1)*B25^2+(B10*S6)*(B8^2+I6^2-2*B8*I6)/(B10+S6))/(B10+S6-1))</f>
        <v>1973.8001267462987</v>
      </c>
      <c r="M6">
        <f>SQRT(((B13-1)*B12^2+(T6-1)*B26^2+(B13*T6)*(B11^2+J6^2-2*B11*J6)/(B13+T6))/(B13+T6-1))</f>
        <v>1981.009492186294</v>
      </c>
      <c r="N6">
        <f>SQRT(((B10+S6-1)*L6^2+(B13+T6-1)*M6^2)/(B10+B13+S6+T6-2))</f>
        <v>1977.4080950167954</v>
      </c>
      <c r="O6">
        <f>B10+B13+S6+T6-2</f>
        <v>105.7624242264468</v>
      </c>
      <c r="P6">
        <f>SQRT(N6^2*(1/(B10+S6)+1/(B13+T6)))</f>
        <v>380.97162206790046</v>
      </c>
      <c r="Q6">
        <f>((B8-B11)-_xlfn.T.INV(0.9,O6)*P6-B2)/(_xlfn.T.INV(0.9,O6)*P6+B2-H6)</f>
        <v>7.7623412539602227E-2</v>
      </c>
      <c r="R6">
        <v>7.7624242264467902E-2</v>
      </c>
      <c r="S6">
        <f>R6*B10</f>
        <v>3.8812121132233952</v>
      </c>
      <c r="T6">
        <f>R6*B13</f>
        <v>3.8812121132233952</v>
      </c>
      <c r="U6">
        <f t="shared" si="0"/>
        <v>8.2972486567522985E-7</v>
      </c>
    </row>
    <row r="7" spans="1:21" x14ac:dyDescent="0.3">
      <c r="A7" s="1" t="s">
        <v>47</v>
      </c>
      <c r="B7" s="6">
        <f>IF(B4=TRUE,_xlfn.T.INV(1-B3,(B9^2/B10+B12^2/B13)^2/((B9^2/B10)^2/(B10-1)+(B12^2/B13)^2/(B13-1))),_xlfn.T.INV(B3,(B9^2/B10+B12^2/B13)^2/((B9^2/B10)^2/(B10-1)+(B12^2/B13)^2/(B13-1))))</f>
        <v>1.2903402023837507</v>
      </c>
      <c r="D7">
        <v>18700</v>
      </c>
      <c r="E7">
        <v>16600</v>
      </c>
      <c r="G7">
        <v>-0.7</v>
      </c>
      <c r="H7">
        <v>-1384.4392366586528</v>
      </c>
      <c r="I7">
        <f>((B8+B11)/2)+H7/2</f>
        <v>16223.780381670673</v>
      </c>
      <c r="J7">
        <f>((B8+B11)/2)-H7/2</f>
        <v>17608.219618329327</v>
      </c>
      <c r="K7">
        <f>((B8-B11)+(R7*H7))/(1+R7)</f>
        <v>490.81338917848012</v>
      </c>
      <c r="L7">
        <f>SQRT(((B10-1)*B9^2+(S7-1)*B25^2+(B10*S7)*(B8^2+I7^2-2*B8*I7)/(B10+S7))/(B10+S7-1))</f>
        <v>1973.5110171668655</v>
      </c>
      <c r="M7">
        <f>SQRT(((B13-1)*B12^2+(T7-1)*B26^2+(B13*T7)*(B11^2+J7^2-2*B11*J7)/(B13+T7))/(B13+T7-1))</f>
        <v>1980.7216877526994</v>
      </c>
      <c r="N7">
        <f>SQRT(((B10+S7-1)*L7^2+(B13+T7-1)*M7^2)/(B10+B13+S7+T7-2))</f>
        <v>1977.1196396795133</v>
      </c>
      <c r="O7">
        <f>B10+B13+S7+T7-2</f>
        <v>105.9555473628478</v>
      </c>
      <c r="P7">
        <f>SQRT(N7^2*(1/(B10+S7)+1/(B13+T7)))</f>
        <v>380.57518220956672</v>
      </c>
      <c r="Q7">
        <f>((B8-B11)-_xlfn.T.INV(0.9,O7)*P7-B2)/(_xlfn.T.INV(0.9,O7)*P7+B2-H7)</f>
        <v>7.9554557480830831E-2</v>
      </c>
      <c r="R7">
        <v>7.9555473628477869E-2</v>
      </c>
      <c r="S7">
        <f>R7*B10</f>
        <v>3.9777736814238933</v>
      </c>
      <c r="T7">
        <f>R7*B13</f>
        <v>3.9777736814238933</v>
      </c>
      <c r="U7">
        <f t="shared" si="0"/>
        <v>9.1614764703706886E-7</v>
      </c>
    </row>
    <row r="8" spans="1:21" x14ac:dyDescent="0.3">
      <c r="A8" s="1" t="s">
        <v>36</v>
      </c>
      <c r="B8" s="6">
        <f>AVERAGE(D2:D100000)</f>
        <v>17236</v>
      </c>
      <c r="D8">
        <v>14900</v>
      </c>
      <c r="E8">
        <v>14900</v>
      </c>
      <c r="G8">
        <v>-0.68</v>
      </c>
      <c r="H8">
        <v>-1344.883829896977</v>
      </c>
      <c r="I8">
        <f>((B8+B11)/2)+H8/2</f>
        <v>16243.558085051511</v>
      </c>
      <c r="J8">
        <f>((B8+B11)/2)-H8/2</f>
        <v>17588.441914948489</v>
      </c>
      <c r="K8">
        <f>((B8-B11)+(R8*H8))/(1+R8)</f>
        <v>490.24920870324809</v>
      </c>
      <c r="L8">
        <f>SQRT(((B10-1)*B9^2+(S8-1)*B25^2+(B10*S8)*(B8^2+I8^2-2*B8*I8)/(B10+S8))/(B10+S8-1))</f>
        <v>1973.2268504087585</v>
      </c>
      <c r="M8">
        <f>SQRT(((B13-1)*B12^2+(T8-1)*B26^2+(B13*T8)*(B11^2+J8^2-2*B11*J8)/(B13+T8))/(B13+T8-1))</f>
        <v>1980.4388226331032</v>
      </c>
      <c r="N8">
        <f>SQRT(((B10+S8-1)*L8^2+(B13+T8-1)*M8^2)/(B10+B13+S8+T8-2))</f>
        <v>1976.836125399177</v>
      </c>
      <c r="O8">
        <f>B10+B13+S8+T8-2</f>
        <v>106.16021444477815</v>
      </c>
      <c r="P8">
        <f>SQRT(N8^2*(1/(B10+S8)+1/(B13+T8)))</f>
        <v>380.16041648127771</v>
      </c>
      <c r="Q8">
        <f>((B8-B11)-_xlfn.T.INV(0.9,O8)*P8-B2)/(_xlfn.T.INV(0.9,O8)*P8+B2-H8)</f>
        <v>8.1601216644787464E-2</v>
      </c>
      <c r="R8">
        <v>8.1602144447781605E-2</v>
      </c>
      <c r="S8">
        <f>R8*B10</f>
        <v>4.0801072223890804</v>
      </c>
      <c r="T8">
        <f>R8*B13</f>
        <v>4.0801072223890804</v>
      </c>
      <c r="U8">
        <f t="shared" si="0"/>
        <v>9.2780299414119138E-7</v>
      </c>
    </row>
    <row r="9" spans="1:21" x14ac:dyDescent="0.3">
      <c r="A9" s="1" t="s">
        <v>33</v>
      </c>
      <c r="B9" s="6">
        <f>_xlfn.STDEV.S(D2:D100000)</f>
        <v>1974.0934369880226</v>
      </c>
      <c r="D9">
        <v>16400</v>
      </c>
      <c r="E9">
        <v>16800</v>
      </c>
      <c r="G9">
        <v>-0.66</v>
      </c>
      <c r="H9">
        <v>-1305.3284231353011</v>
      </c>
      <c r="I9">
        <f>((B8+B11)/2)+H9/2</f>
        <v>16263.335788432349</v>
      </c>
      <c r="J9">
        <f>((B8+B11)/2)-H9/2</f>
        <v>17568.664211567651</v>
      </c>
      <c r="K9">
        <f>((B8-B11)+(R9*H9))/(1+R9)</f>
        <v>489.69583598235511</v>
      </c>
      <c r="L9">
        <f>SQRT(((B10-1)*B9^2+(S9-1)*B25^2+(B10*S9)*(B8^2+I9^2-2*B8*I9)/(B10+S9))/(B10+S9-1))</f>
        <v>1972.9399177722512</v>
      </c>
      <c r="M9">
        <f>SQRT(((B13-1)*B12^2+(T9-1)*B26^2+(B13*T9)*(B11^2+J9^2-2*B11*J9)/(B13+T9))/(B13+T9-1))</f>
        <v>1980.1532120765303</v>
      </c>
      <c r="N9">
        <f>SQRT(((B10+S9-1)*L9^2+(B13+T9-1)*M9^2)/(B10+B13+S9+T9-2))</f>
        <v>1976.5498554850794</v>
      </c>
      <c r="O9">
        <f>B10+B13+S9+T9-2</f>
        <v>106.37337786685552</v>
      </c>
      <c r="P9">
        <f>SQRT(N9^2*(1/(B10+S9)+1/(B13+T9)))</f>
        <v>379.73135929874769</v>
      </c>
      <c r="Q9">
        <f>((B8-B11)-_xlfn.T.INV(0.9,O9)*P9-B2)/(_xlfn.T.INV(0.9,O9)*P9+B2-H9)</f>
        <v>8.3732788904249192E-2</v>
      </c>
      <c r="R9">
        <v>8.3733778668555095E-2</v>
      </c>
      <c r="S9">
        <f>R9*B10</f>
        <v>4.1866889334277548</v>
      </c>
      <c r="T9">
        <f>R9*B13</f>
        <v>4.1866889334277548</v>
      </c>
      <c r="U9">
        <f t="shared" si="0"/>
        <v>9.8976430590314024E-7</v>
      </c>
    </row>
    <row r="10" spans="1:21" x14ac:dyDescent="0.3">
      <c r="A10" s="1" t="s">
        <v>34</v>
      </c>
      <c r="B10" s="6">
        <f>COUNT(D2:D100000)</f>
        <v>50</v>
      </c>
      <c r="D10">
        <v>16300</v>
      </c>
      <c r="E10">
        <v>12100</v>
      </c>
      <c r="G10">
        <v>-0.64</v>
      </c>
      <c r="H10">
        <v>-1265.7730163736253</v>
      </c>
      <c r="I10">
        <f>((B8+B11)/2)+H10/2</f>
        <v>16283.113491813187</v>
      </c>
      <c r="J10">
        <f>((B8+B11)/2)-H10/2</f>
        <v>17548.886508186813</v>
      </c>
      <c r="K10">
        <f>((B8-B11)+(R10*H10))/(1+R10)</f>
        <v>489.11999754323949</v>
      </c>
      <c r="L10">
        <f>SQRT(((B10-1)*B9^2+(S10-1)*B25^2+(B10*S10)*(B8^2+I10^2-2*B8*I10)/(B10+S10))/(B10+S10-1))</f>
        <v>1972.6541844636001</v>
      </c>
      <c r="M10">
        <f>SQRT(((B13-1)*B12^2+(T10-1)*B26^2+(B13*T10)*(B11^2+J10^2-2*B11*J10)/(B13+T10))/(B13+T10-1))</f>
        <v>1979.8688101354799</v>
      </c>
      <c r="N10">
        <f>SQRT(((B10+S10-1)*L10^2+(B13+T10-1)*M10^2)/(B10+B13+S10+T10-2))</f>
        <v>1976.2647895498508</v>
      </c>
      <c r="O10">
        <f>B10+B13+S10+T10-2</f>
        <v>106.5976752577071</v>
      </c>
      <c r="P10">
        <f>SQRT(N10^2*(1/(B10+S10)+1/(B13+T10)))</f>
        <v>379.2842986712285</v>
      </c>
      <c r="Q10">
        <f>((B8-B11)-_xlfn.T.INV(0.9,O10)*P10-B2)/(_xlfn.T.INV(0.9,O10)*P10+B2-H10)</f>
        <v>8.5976162682880844E-2</v>
      </c>
      <c r="R10">
        <v>8.5976752577070881E-2</v>
      </c>
      <c r="S10">
        <f>R10*B10</f>
        <v>4.2988376288535441</v>
      </c>
      <c r="T10">
        <f>R10*B13</f>
        <v>4.2988376288535441</v>
      </c>
      <c r="U10">
        <f t="shared" si="0"/>
        <v>5.8989419003674382E-7</v>
      </c>
    </row>
    <row r="11" spans="1:21" x14ac:dyDescent="0.3">
      <c r="A11" s="1" t="s">
        <v>35</v>
      </c>
      <c r="B11" s="6">
        <f>AVERAGE(E2:E100000)</f>
        <v>16596</v>
      </c>
      <c r="D11">
        <v>18000</v>
      </c>
      <c r="E11">
        <v>10800</v>
      </c>
      <c r="G11">
        <v>-0.62</v>
      </c>
      <c r="H11">
        <v>-1226.2176096119495</v>
      </c>
      <c r="I11">
        <f>((B8+B11)/2)+H11/2</f>
        <v>16302.891195194024</v>
      </c>
      <c r="J11">
        <f>((B8+B11)/2)-H11/2</f>
        <v>17529.108804805976</v>
      </c>
      <c r="K11">
        <f>((B8-B11)+(R11*H11))/(1+R11)</f>
        <v>488.51825572889049</v>
      </c>
      <c r="L11">
        <f>SQRT(((B10-1)*B9^2+(S11-1)*B25^2+(B10*S11)*(B8^2+I11^2-2*B8*I11)/(B10+S11))/(B10+S11-1))</f>
        <v>1972.3699712491245</v>
      </c>
      <c r="M11">
        <f>SQRT(((B13-1)*B12^2+(T11-1)*B26^2+(B13*T11)*(B11^2+J11^2-2*B11*J11)/(B13+T11))/(B13+T11-1))</f>
        <v>1979.585937531655</v>
      </c>
      <c r="N11">
        <f>SQRT(((B10+S11-1)*L11^2+(B13+T11-1)*M11^2)/(B10+B13+S11+T11-2))</f>
        <v>1975.9812483369312</v>
      </c>
      <c r="O11">
        <f>B10+B13+S11+T11-2</f>
        <v>106.83411534877993</v>
      </c>
      <c r="P11">
        <f>SQRT(N11^2*(1/(B10+S11)+1/(B13+T11)))</f>
        <v>378.81772259955187</v>
      </c>
      <c r="Q11">
        <f>((B8-B11)-_xlfn.T.INV(0.9,O11)*P11-B2)/(_xlfn.T.INV(0.9,O11)*P11+B2-H11)</f>
        <v>8.8340516518758419E-2</v>
      </c>
      <c r="R11">
        <v>8.8341153487799279E-2</v>
      </c>
      <c r="S11">
        <f>R11*B10</f>
        <v>4.4170576743899641</v>
      </c>
      <c r="T11">
        <f>R11*B13</f>
        <v>4.4170576743899641</v>
      </c>
      <c r="U11">
        <f t="shared" si="0"/>
        <v>6.3696904085974726E-7</v>
      </c>
    </row>
    <row r="12" spans="1:21" x14ac:dyDescent="0.3">
      <c r="A12" s="1" t="s">
        <v>37</v>
      </c>
      <c r="B12" s="6">
        <f>_xlfn.STDEV.S(E2:E100000)</f>
        <v>1981.4404160733625</v>
      </c>
      <c r="D12">
        <v>16800</v>
      </c>
      <c r="E12">
        <v>18500</v>
      </c>
      <c r="G12">
        <v>-0.6</v>
      </c>
      <c r="H12">
        <v>-1186.6622028502736</v>
      </c>
      <c r="I12">
        <f>((B8+B11)/2)+H12/2</f>
        <v>16322.668898574862</v>
      </c>
      <c r="J12">
        <f>((B8+B11)/2)-H12/2</f>
        <v>17509.331101425138</v>
      </c>
      <c r="K12">
        <f>((B8-B11)+(R12*H12))/(1+R12)</f>
        <v>487.85705199985586</v>
      </c>
      <c r="L12">
        <f>SQRT(((B10-1)*B9^2+(S12-1)*B25^2+(B10*S12)*(B8^2+I12^2-2*B8*I12)/(B10+S12))/(B10+S12-1))</f>
        <v>1972.0908691395452</v>
      </c>
      <c r="M12">
        <f>SQRT(((B13-1)*B12^2+(T12-1)*B26^2+(B13*T12)*(B11^2+J12^2-2*B11*J12)/(B13+T12))/(B13+T12-1))</f>
        <v>1979.3081759150496</v>
      </c>
      <c r="N12">
        <f>SQRT(((B10+S12-1)*L12^2+(B13+T12-1)*M12^2)/(B10+B13+S12+T12-2))</f>
        <v>1975.7028181621504</v>
      </c>
      <c r="O12">
        <f>B10+B13+S12+T12-2</f>
        <v>107.08576879958071</v>
      </c>
      <c r="P12">
        <f>SQRT(N12^2*(1/(B10+S12)+1/(B13+T12)))</f>
        <v>378.32720036426468</v>
      </c>
      <c r="Q12">
        <f>((B8-B11)-_xlfn.T.INV(0.9,O12)*P12-B2)/(_xlfn.T.INV(0.9,O12)*P12+B2-H12)</f>
        <v>9.0857012926876216E-2</v>
      </c>
      <c r="R12">
        <v>9.0857687995806957E-2</v>
      </c>
      <c r="S12">
        <f>R12*B10</f>
        <v>4.5428843997903474</v>
      </c>
      <c r="T12">
        <f>R12*B13</f>
        <v>4.5428843997903474</v>
      </c>
      <c r="U12">
        <f t="shared" si="0"/>
        <v>6.7506893074165131E-7</v>
      </c>
    </row>
    <row r="13" spans="1:21" x14ac:dyDescent="0.3">
      <c r="A13" s="1" t="s">
        <v>38</v>
      </c>
      <c r="B13" s="6">
        <f>COUNT(E2:E100000)</f>
        <v>50</v>
      </c>
      <c r="D13">
        <v>19800</v>
      </c>
      <c r="E13">
        <v>15500</v>
      </c>
      <c r="G13">
        <v>-0.57999999999999996</v>
      </c>
      <c r="H13">
        <v>-1147.1067960885978</v>
      </c>
      <c r="I13">
        <f>((B8+B11)/2)+H13/2</f>
        <v>16342.4466019557</v>
      </c>
      <c r="J13">
        <f>((B8+B11)/2)-H13/2</f>
        <v>17489.5533980443</v>
      </c>
      <c r="K13">
        <f>((B8-B11)+(R13*H13))/(1+R13)</f>
        <v>487.19897776782216</v>
      </c>
      <c r="L13">
        <f>SQRT(((B10-1)*B9^2+(S13-1)*B25^2+(B10*S13)*(B8^2+I13^2-2*B8*I13)/(B10+S13))/(B10+S13-1))</f>
        <v>1971.8098760631447</v>
      </c>
      <c r="M13">
        <f>SQRT(((B13-1)*B12^2+(T13-1)*B26^2+(B13*T13)*(B11^2+J13^2-2*B11*J13)/(B13+T13))/(B13+T13-1))</f>
        <v>1979.0285446087423</v>
      </c>
      <c r="N13">
        <f>SQRT(((B10+S13-1)*L13^2+(B13+T13-1)*M13^2)/(B10+B13+S13+T13-2))</f>
        <v>1975.4225076823882</v>
      </c>
      <c r="O13">
        <f>B10+B13+S13+T13-2</f>
        <v>107.3495981398645</v>
      </c>
      <c r="P13">
        <f>SQRT(N13^2*(1/(B10+S13)+1/(B13+T13)))</f>
        <v>377.81691517443892</v>
      </c>
      <c r="Q13">
        <f>((B8-B11)-_xlfn.T.INV(0.9,O13)*P13-B2)/(_xlfn.T.INV(0.9,O13)*P13+B2-H13)</f>
        <v>9.349525157061217E-2</v>
      </c>
      <c r="R13">
        <v>9.3495981398644901E-2</v>
      </c>
      <c r="S13">
        <f>R13*B10</f>
        <v>4.674799069932245</v>
      </c>
      <c r="T13">
        <f>R13*B13</f>
        <v>4.674799069932245</v>
      </c>
      <c r="U13">
        <f t="shared" si="0"/>
        <v>7.2982803273058394E-7</v>
      </c>
    </row>
    <row r="14" spans="1:21" x14ac:dyDescent="0.3">
      <c r="A14" s="1" t="s">
        <v>28</v>
      </c>
      <c r="B14" s="6">
        <f>SQRT(((B10-1)*(B9^2)+(B13-1)*(B12^2))/(B10+B13-2))</f>
        <v>1977.7703380837931</v>
      </c>
      <c r="D14">
        <v>17300</v>
      </c>
      <c r="E14">
        <v>16200</v>
      </c>
      <c r="G14">
        <v>-0.56000000000000005</v>
      </c>
      <c r="H14">
        <v>-1107.5513893269219</v>
      </c>
      <c r="I14">
        <f>((B8+B11)/2)+H14/2</f>
        <v>16362.224305336538</v>
      </c>
      <c r="J14">
        <f>((B8+B11)/2)-H14/2</f>
        <v>17469.775694663462</v>
      </c>
      <c r="K14">
        <f>((B8-B11)+(R14*H14))/(1+R14)</f>
        <v>486.50929526646235</v>
      </c>
      <c r="L14">
        <f>SQRT(((B10-1)*B9^2+(S14-1)*B25^2+(B10*S14)*(B8^2+I14^2-2*B8*I14)/(B10+S14))/(B10+S14-1))</f>
        <v>1971.5307771443947</v>
      </c>
      <c r="M14">
        <f>SQRT(((B13-1)*B12^2+(T14-1)*B26^2+(B13*T14)*(B11^2+J14^2-2*B11*J14)/(B13+T14))/(B13+T14-1))</f>
        <v>1978.7508189168882</v>
      </c>
      <c r="N14">
        <f>SQRT(((B10+S14-1)*L14^2+(B13+T14-1)*M14^2)/(B10+B13+S14+T14-2))</f>
        <v>1975.1440970966946</v>
      </c>
      <c r="O14">
        <f>B10+B13+S14+T14-2</f>
        <v>107.62891226269033</v>
      </c>
      <c r="P14">
        <f>SQRT(N14^2*(1/(B10+S14)+1/(B13+T14)))</f>
        <v>377.2821239296448</v>
      </c>
      <c r="Q14">
        <f>((B8-B11)-_xlfn.T.INV(0.9,O14)*P14-B2)/(_xlfn.T.INV(0.9,O14)*P14+B2-H14)</f>
        <v>9.6288329896290145E-2</v>
      </c>
      <c r="R14">
        <v>9.6289122626903215E-2</v>
      </c>
      <c r="S14">
        <f>R14*B10</f>
        <v>4.8144561313451604</v>
      </c>
      <c r="T14">
        <f>R14*B13</f>
        <v>4.8144561313451604</v>
      </c>
      <c r="U14">
        <f t="shared" si="0"/>
        <v>7.9273061306950332E-7</v>
      </c>
    </row>
    <row r="15" spans="1:21" x14ac:dyDescent="0.3">
      <c r="A15" s="1" t="s">
        <v>29</v>
      </c>
      <c r="B15" s="6">
        <f>SQRT(((B10-1)*(B9^2)+(B13-1)*(B12^2))/(B10+B13))</f>
        <v>1957.8927447641252</v>
      </c>
      <c r="D15">
        <v>16600</v>
      </c>
      <c r="E15">
        <v>16300</v>
      </c>
      <c r="G15">
        <v>-0.54</v>
      </c>
      <c r="H15">
        <v>-1067.9959825652463</v>
      </c>
      <c r="I15">
        <f>((B8+B11)/2)+H15/2</f>
        <v>16382.002008717376</v>
      </c>
      <c r="J15">
        <f>((B8+B11)/2)-H15/2</f>
        <v>17449.997991282624</v>
      </c>
      <c r="K15">
        <f>((B8-B11)+(R15*H15))/(1+R15)</f>
        <v>485.78528701891872</v>
      </c>
      <c r="L15">
        <f>SQRT(((B10-1)*B9^2+(S15-1)*B25^2+(B10*S15)*(B8^2+I15^2-2*B8*I15)/(B10+S15))/(B10+S15-1))</f>
        <v>1971.2537678492292</v>
      </c>
      <c r="M15">
        <f>SQRT(((B13-1)*B12^2+(T15-1)*B26^2+(B13*T15)*(B11^2+J15^2-2*B11*J15)/(B13+T15))/(B13+T15-1))</f>
        <v>1978.4751950816806</v>
      </c>
      <c r="N15">
        <f>SQRT(((B10+S15-1)*L15^2+(B13+T15-1)*M15^2)/(B10+B13+S15+T15-2))</f>
        <v>1974.8677822595207</v>
      </c>
      <c r="O15">
        <f>B10+B13+S15+T15-2</f>
        <v>107.92512369661617</v>
      </c>
      <c r="P15">
        <f>SQRT(N15^2*(1/(B10+S15)+1/(B13+T15)))</f>
        <v>376.72074735800857</v>
      </c>
      <c r="Q15">
        <f>((B8-B11)-_xlfn.T.INV(0.9,O15)*P15-B2)/(_xlfn.T.INV(0.9,O15)*P15+B2-H15)</f>
        <v>9.9250346852263277E-2</v>
      </c>
      <c r="R15">
        <v>9.925123696616156E-2</v>
      </c>
      <c r="S15">
        <f>R15*B10</f>
        <v>4.962561848308078</v>
      </c>
      <c r="T15">
        <f>R15*B13</f>
        <v>4.962561848308078</v>
      </c>
      <c r="U15">
        <f t="shared" si="0"/>
        <v>8.9011389828308474E-7</v>
      </c>
    </row>
    <row r="16" spans="1:21" x14ac:dyDescent="0.3">
      <c r="A16" s="1" t="s">
        <v>26</v>
      </c>
      <c r="B16" s="6">
        <f>(B8-B11-B2)/B15</f>
        <v>0.32688205301925427</v>
      </c>
      <c r="D16">
        <v>14900</v>
      </c>
      <c r="E16">
        <v>18200</v>
      </c>
      <c r="G16">
        <v>-0.52</v>
      </c>
      <c r="H16">
        <v>-1028.4405758035705</v>
      </c>
      <c r="I16">
        <f>((B8+B11)/2)+H16/2</f>
        <v>16401.779712098214</v>
      </c>
      <c r="J16">
        <f>((B8+B11)/2)-H16/2</f>
        <v>17430.220287901786</v>
      </c>
      <c r="K16">
        <f>((B8-B11)+(R16*H16))/(1+R16)</f>
        <v>484.99182849219369</v>
      </c>
      <c r="L16">
        <f>SQRT(((B10-1)*B9^2+(S16-1)*B25^2+(B10*S16)*(B8^2+I16^2-2*B8*I16)/(B10+S16))/(B10+S16-1))</f>
        <v>1970.9822694035638</v>
      </c>
      <c r="M16">
        <f>SQRT(((B13-1)*B12^2+(T16-1)*B26^2+(B13*T16)*(B11^2+J16^2-2*B11*J16)/(B13+T16))/(B13+T16-1))</f>
        <v>1978.2050864278758</v>
      </c>
      <c r="N16">
        <f>SQRT(((B10+S16-1)*L16^2+(B13+T16-1)*M16^2)/(B10+B13+S16+T16-2))</f>
        <v>1974.5969804332658</v>
      </c>
      <c r="O16">
        <f>B10+B13+S16+T16-2</f>
        <v>108.24216020932465</v>
      </c>
      <c r="P16">
        <f>SQRT(N16^2*(1/(B10+S16)+1/(B13+T16)))</f>
        <v>376.12708384682389</v>
      </c>
      <c r="Q16">
        <f>((B8-B11)-_xlfn.T.INV(0.9,O16)*P16-B2)/(_xlfn.T.INV(0.9,O16)*P16+B2-H16)</f>
        <v>0.1024206720562931</v>
      </c>
      <c r="R16">
        <v>0.10242160209324662</v>
      </c>
      <c r="S16">
        <f>R16*B10</f>
        <v>5.1210801046623313</v>
      </c>
      <c r="T16">
        <f>R16*B13</f>
        <v>5.1210801046623313</v>
      </c>
      <c r="U16">
        <f t="shared" si="0"/>
        <v>9.300369535197861E-7</v>
      </c>
    </row>
    <row r="17" spans="1:21" x14ac:dyDescent="0.3">
      <c r="A17" s="1" t="s">
        <v>27</v>
      </c>
      <c r="B17" s="6">
        <f>(B8-B11-B2)/B14</f>
        <v>0.32359672287333335</v>
      </c>
      <c r="D17">
        <v>16300</v>
      </c>
      <c r="E17">
        <v>19500</v>
      </c>
      <c r="G17">
        <v>-0.5</v>
      </c>
      <c r="H17">
        <v>-988.88516904189453</v>
      </c>
      <c r="I17">
        <f>((B8+B11)/2)+H17/2</f>
        <v>16421.557415479052</v>
      </c>
      <c r="J17">
        <f>((B8+B11)/2)-H17/2</f>
        <v>17410.442584520948</v>
      </c>
      <c r="K17">
        <f>((B8-B11)+(R17*H17))/(1+R17)</f>
        <v>484.19052179178129</v>
      </c>
      <c r="L17">
        <f>SQRT(((B10-1)*B9^2+(S17-1)*B25^2+(B10*S17)*(B8^2+I17^2-2*B8*I17)/(B10+S17))/(B10+S17-1))</f>
        <v>1970.7099591362544</v>
      </c>
      <c r="M17">
        <f>SQRT(((B13-1)*B12^2+(T17-1)*B26^2+(B13*T17)*(B11^2+J17^2-2*B11*J17)/(B13+T17))/(B13+T17-1))</f>
        <v>1977.9341893525773</v>
      </c>
      <c r="N17">
        <f>SQRT(((B10+S17-1)*L17^2+(B13+T17-1)*M17^2)/(B10+B13+S17+T17-2))</f>
        <v>1974.3253785089039</v>
      </c>
      <c r="O17">
        <f>B10+B13+S17+T17-2</f>
        <v>108.57715358265395</v>
      </c>
      <c r="P17">
        <f>SQRT(N17^2*(1/(B10+S17)+1/(B13+T17)))</f>
        <v>375.50525626572477</v>
      </c>
      <c r="Q17">
        <f>((B8-B11)-_xlfn.T.INV(0.9,O17)*P17-B2)/(_xlfn.T.INV(0.9,O17)*P17+B2-H17)</f>
        <v>0.1057709544767339</v>
      </c>
      <c r="R17">
        <v>0.10577153582653956</v>
      </c>
      <c r="S17">
        <f>R17*B10</f>
        <v>5.2885767913269781</v>
      </c>
      <c r="T17">
        <f>R17*B13</f>
        <v>5.2885767913269781</v>
      </c>
      <c r="U17">
        <f t="shared" si="0"/>
        <v>5.8134980565616168E-7</v>
      </c>
    </row>
    <row r="18" spans="1:21" x14ac:dyDescent="0.3">
      <c r="A18" s="1" t="s">
        <v>39</v>
      </c>
      <c r="B18" s="6">
        <f>(B8-B11-B2)/SQRT((B9^2)/B10+(B12^2)/B13)</f>
        <v>1.6179836143666664</v>
      </c>
      <c r="D18">
        <v>16500</v>
      </c>
      <c r="E18">
        <v>13200</v>
      </c>
      <c r="G18">
        <v>-0.48</v>
      </c>
      <c r="H18">
        <v>-949.32976228021869</v>
      </c>
      <c r="I18">
        <f>((B8+B11)/2)+H18/2</f>
        <v>16441.33511885989</v>
      </c>
      <c r="J18">
        <f>((B8+B11)/2)-H18/2</f>
        <v>17390.66488114011</v>
      </c>
      <c r="K18">
        <f>((B8-B11)+(R18*H18))/(1+R18)</f>
        <v>483.34415020362127</v>
      </c>
      <c r="L18">
        <f>SQRT(((B10-1)*B9^2+(S18-1)*B25^2+(B10*S18)*(B8^2+I18^2-2*B8*I18)/(B10+S18))/(B10+S18-1))</f>
        <v>1970.4405168587391</v>
      </c>
      <c r="M18">
        <f>SQRT(((B13-1)*B12^2+(T18-1)*B26^2+(B13*T18)*(B11^2+J18^2-2*B11*J18)/(B13+T18))/(B13+T18-1))</f>
        <v>1977.6661752962268</v>
      </c>
      <c r="N18">
        <f>SQRT(((B10+S18-1)*L18^2+(B13+T18-1)*M18^2)/(B10+B13+S18+T18-2))</f>
        <v>1974.0566520985842</v>
      </c>
      <c r="O18">
        <f>B10+B13+S18+T18-2</f>
        <v>108.93450843428727</v>
      </c>
      <c r="P18">
        <f>SQRT(N18^2*(1/(B10+S18)+1/(B13+T18)))</f>
        <v>374.84893047597382</v>
      </c>
      <c r="Q18">
        <f>((B8-B11)-_xlfn.T.INV(0.9,O18)*P18-B2)/(_xlfn.T.INV(0.9,O18)*P18+B2-H18)</f>
        <v>0.10934442333050273</v>
      </c>
      <c r="R18">
        <v>0.1093450843428726</v>
      </c>
      <c r="S18">
        <f>R18*B10</f>
        <v>5.4672542171436298</v>
      </c>
      <c r="T18">
        <f>R18*B13</f>
        <v>5.4672542171436298</v>
      </c>
      <c r="U18">
        <f t="shared" si="0"/>
        <v>6.6101236986804146E-7</v>
      </c>
    </row>
    <row r="19" spans="1:21" x14ac:dyDescent="0.3">
      <c r="A19" s="1" t="s">
        <v>40</v>
      </c>
      <c r="B19" s="6">
        <f>(B8-B11-B2)/SQRT(B14^2*(1/B10+1/B13))</f>
        <v>1.6179836143666666</v>
      </c>
      <c r="D19">
        <v>15400</v>
      </c>
      <c r="E19">
        <v>16800</v>
      </c>
      <c r="G19">
        <v>-0.46</v>
      </c>
      <c r="H19">
        <v>-909.77435551854285</v>
      </c>
      <c r="I19">
        <f>((B8+B11)/2)+H19/2</f>
        <v>16461.112822240728</v>
      </c>
      <c r="J19">
        <f>((B8+B11)/2)-H19/2</f>
        <v>17370.887177759272</v>
      </c>
      <c r="K19">
        <f>((B8-B11)+(R19*H19))/(1+R19)</f>
        <v>482.41711851079117</v>
      </c>
      <c r="L19">
        <f>SQRT(((B10-1)*B9^2+(S19-1)*B25^2+(B10*S19)*(B8^2+I19^2-2*B8*I19)/(B10+S19))/(B10+S19-1))</f>
        <v>1970.1771451365362</v>
      </c>
      <c r="M19">
        <f>SQRT(((B13-1)*B12^2+(T19-1)*B26^2+(B13*T19)*(B11^2+J19^2-2*B11*J19)/(B13+T19))/(B13+T19-1))</f>
        <v>1977.4042405375778</v>
      </c>
      <c r="N19">
        <f>SQRT(((B10+S19-1)*L19^2+(B13+T19-1)*M19^2)/(B10+B13+S19+T19-2))</f>
        <v>1973.7940006133299</v>
      </c>
      <c r="O19">
        <f>B10+B13+S19+T19-2</f>
        <v>109.31905233072047</v>
      </c>
      <c r="P19">
        <f>SQRT(N19^2*(1/(B10+S19)+1/(B13+T19)))</f>
        <v>374.15113758786663</v>
      </c>
      <c r="Q19">
        <f>((B8-B11)-_xlfn.T.INV(0.9,O19)*P19-B2)/(_xlfn.T.INV(0.9,O19)*P19+B2-H19)</f>
        <v>0.11318981967748293</v>
      </c>
      <c r="R19">
        <v>0.11319052330720461</v>
      </c>
      <c r="S19">
        <f>R19*B10</f>
        <v>5.6595261653602309</v>
      </c>
      <c r="T19">
        <f>R19*B13</f>
        <v>5.6595261653602309</v>
      </c>
      <c r="U19">
        <f t="shared" si="0"/>
        <v>7.0362972168225291E-7</v>
      </c>
    </row>
    <row r="20" spans="1:21" x14ac:dyDescent="0.3">
      <c r="A20" s="1" t="s">
        <v>13</v>
      </c>
      <c r="B20" s="6" t="b">
        <f>IF(B4=TRUE,IF(B18&gt;B5,TRUE,FALSE),IF(B18&lt;B5,TRUE,FALSE))</f>
        <v>1</v>
      </c>
      <c r="D20">
        <v>17600</v>
      </c>
      <c r="E20">
        <v>12900</v>
      </c>
      <c r="G20">
        <v>-0.44</v>
      </c>
      <c r="H20">
        <v>-870.21894875686701</v>
      </c>
      <c r="I20">
        <f>((B8+B11)/2)+H20/2</f>
        <v>16480.890525621566</v>
      </c>
      <c r="J20">
        <f>((B8+B11)/2)-H20/2</f>
        <v>17351.109474378434</v>
      </c>
      <c r="K20">
        <f>((B8-B11)+(R20*H20))/(1+R20)</f>
        <v>481.46849159308533</v>
      </c>
      <c r="L20">
        <f>SQRT(((B10-1)*B9^2+(S20-1)*B25^2+(B10*S20)*(B8^2+I20^2-2*B8*I20)/(B10+S20))/(B10+S20-1))</f>
        <v>1969.9141758602659</v>
      </c>
      <c r="M20">
        <f>SQRT(((B13-1)*B12^2+(T20-1)*B26^2+(B13*T20)*(B11^2+J20^2-2*B11*J20)/(B13+T20))/(B13+T20-1))</f>
        <v>1977.1427341125641</v>
      </c>
      <c r="N20">
        <f>SQRT(((B10+S20-1)*L20^2+(B13+T20-1)*M20^2)/(B10+B13+S20+T20-2))</f>
        <v>1973.5317645415967</v>
      </c>
      <c r="O20">
        <f>B10+B13+S20+T20-2</f>
        <v>109.72841469666025</v>
      </c>
      <c r="P20">
        <f>SQRT(N20^2*(1/(B10+S20)+1/(B13+T20)))</f>
        <v>373.41546321840053</v>
      </c>
      <c r="Q20">
        <f>((B8-B11)-_xlfn.T.INV(0.9,O20)*P20-B2)/(_xlfn.T.INV(0.9,O20)*P20+B2-H20)</f>
        <v>0.11728335931174959</v>
      </c>
      <c r="R20">
        <v>0.11728414696660255</v>
      </c>
      <c r="S20">
        <f>R20*B10</f>
        <v>5.8642073483301278</v>
      </c>
      <c r="T20">
        <f>R20*B13</f>
        <v>5.8642073483301278</v>
      </c>
      <c r="U20">
        <f t="shared" si="0"/>
        <v>7.8765485296561355E-7</v>
      </c>
    </row>
    <row r="21" spans="1:21" x14ac:dyDescent="0.3">
      <c r="A21" s="1" t="s">
        <v>44</v>
      </c>
      <c r="B21" s="6" t="b">
        <f>IF(B4=TRUE,IF(B19&gt;B6,TRUE,FALSE),IF(B19&lt;B6,TRUE,FALSE))</f>
        <v>1</v>
      </c>
      <c r="D21">
        <v>20100</v>
      </c>
      <c r="E21">
        <v>17200</v>
      </c>
      <c r="G21">
        <v>-0.42</v>
      </c>
      <c r="H21">
        <v>-830.66354199519117</v>
      </c>
      <c r="I21">
        <f>((B8+B11)/2)+H21/2</f>
        <v>16500.668229002404</v>
      </c>
      <c r="J21">
        <f>((B8+B11)/2)-H21/2</f>
        <v>17331.331770997596</v>
      </c>
      <c r="K21">
        <f>((B8-B11)+(R21*H21))/(1+R21)</f>
        <v>480.42912875389339</v>
      </c>
      <c r="L21">
        <f>SQRT(((B10-1)*B9^2+(S21-1)*B25^2+(B10*S21)*(B8^2+I21^2-2*B8*I21)/(B10+S21))/(B10+S21-1))</f>
        <v>1969.6578241903583</v>
      </c>
      <c r="M21">
        <f>SQRT(((B13-1)*B12^2+(T21-1)*B26^2+(B13*T21)*(B11^2+J21^2-2*B11*J21)/(B13+T21))/(B13+T21-1))</f>
        <v>1976.8878577954952</v>
      </c>
      <c r="N21">
        <f>SQRT(((B10+S21-1)*L21^2+(B13+T21-1)*M21^2)/(B10+B13+S21+T21-2))</f>
        <v>1973.2761523280972</v>
      </c>
      <c r="O21">
        <f>B10+B13+S21+T21-2</f>
        <v>110.17083085018976</v>
      </c>
      <c r="P21">
        <f>SQRT(N21^2*(1/(B10+S21)+1/(B13+T21)))</f>
        <v>372.63006704323209</v>
      </c>
      <c r="Q21">
        <f>((B8-B11)-_xlfn.T.INV(0.9,O21)*P21-B2)/(_xlfn.T.INV(0.9,O21)*P21+B2-H21)</f>
        <v>0.12170743967156439</v>
      </c>
      <c r="R21">
        <v>0.12170830850189773</v>
      </c>
      <c r="S21">
        <f>R21*B10</f>
        <v>6.0854154250948866</v>
      </c>
      <c r="T21">
        <f>R21*B13</f>
        <v>6.0854154250948866</v>
      </c>
      <c r="U21">
        <f t="shared" si="0"/>
        <v>8.6883033334483883E-7</v>
      </c>
    </row>
    <row r="22" spans="1:21" x14ac:dyDescent="0.3">
      <c r="A22" s="1" t="s">
        <v>45</v>
      </c>
      <c r="B22" s="6" t="b">
        <f>IF(B4=TRUE,IF(B18&gt;B7,TRUE,FALSE),IF(B18&lt;B7,TRUE,FALSE))</f>
        <v>1</v>
      </c>
      <c r="D22">
        <v>16400</v>
      </c>
      <c r="E22">
        <v>18200</v>
      </c>
      <c r="G22">
        <v>-0.4</v>
      </c>
      <c r="H22">
        <v>-791.10813523351533</v>
      </c>
      <c r="I22">
        <f>((B8+B11)/2)+H22/2</f>
        <v>16520.445932383242</v>
      </c>
      <c r="J22">
        <f>((B8+B11)/2)-H22/2</f>
        <v>17311.554067616758</v>
      </c>
      <c r="K22">
        <f>((B8-B11)+(R22*H22))/(1+R22)</f>
        <v>479.35609963411656</v>
      </c>
      <c r="L22">
        <f>SQRT(((B10-1)*B9^2+(S22-1)*B25^2+(B10*S22)*(B8^2+I22^2-2*B8*I22)/(B10+S22))/(B10+S22-1))</f>
        <v>1969.4028637056567</v>
      </c>
      <c r="M22">
        <f>SQRT(((B13-1)*B12^2+(T22-1)*B26^2+(B13*T22)*(B11^2+J22^2-2*B11*J22)/(B13+T22))/(B13+T22-1))</f>
        <v>1976.6344012003178</v>
      </c>
      <c r="N22">
        <f>SQRT(((B10+S22-1)*L22^2+(B13+T22-1)*M22^2)/(B10+B13+S22+T22-2))</f>
        <v>1973.0219455926713</v>
      </c>
      <c r="O22">
        <f>B10+B13+S22+T22-2</f>
        <v>110.64450395037062</v>
      </c>
      <c r="P22">
        <f>SQRT(N22^2*(1/(B10+S22)+1/(B13+T22)))</f>
        <v>371.79787914991397</v>
      </c>
      <c r="Q22">
        <f>((B8-B11)-_xlfn.T.INV(0.9,O22)*P22-B2)/(_xlfn.T.INV(0.9,O22)*P22+B2-H22)</f>
        <v>0.12644405638686135</v>
      </c>
      <c r="R22">
        <v>0.12644503950370611</v>
      </c>
      <c r="S22">
        <f>R22*B10</f>
        <v>6.3222519751853055</v>
      </c>
      <c r="T22">
        <f>R22*B13</f>
        <v>6.3222519751853055</v>
      </c>
      <c r="U22">
        <f t="shared" si="0"/>
        <v>9.83116844766041E-7</v>
      </c>
    </row>
    <row r="23" spans="1:21" x14ac:dyDescent="0.3">
      <c r="D23">
        <v>18000</v>
      </c>
      <c r="E23">
        <v>16300</v>
      </c>
      <c r="G23">
        <v>-0.38</v>
      </c>
      <c r="H23">
        <v>-751.55272847183949</v>
      </c>
      <c r="I23">
        <f>((B8+B11)/2)+H23/2</f>
        <v>16540.22363576408</v>
      </c>
      <c r="J23">
        <f>((B8+B11)/2)-H23/2</f>
        <v>17291.77636423592</v>
      </c>
      <c r="K23">
        <f>((B8-B11)+(R23*H23))/(1+R23)</f>
        <v>478.17968263894687</v>
      </c>
      <c r="L23">
        <f>SQRT(((B10-1)*B9^2+(S23-1)*B25^2+(B10*S23)*(B8^2+I23^2-2*B8*I23)/(B10+S23))/(B10+S23-1))</f>
        <v>1969.1552296553461</v>
      </c>
      <c r="M23">
        <f>SQRT(((B13-1)*B12^2+(T23-1)*B26^2+(B13*T23)*(B11^2+J23^2-2*B11*J23)/(B13+T23))/(B13+T23-1))</f>
        <v>1976.3882883235685</v>
      </c>
      <c r="N23">
        <f>SQRT(((B10+S23-1)*L23^2+(B13+T23-1)*M23^2)/(B10+B13+S23+T23-2))</f>
        <v>1972.7750739379239</v>
      </c>
      <c r="O23">
        <f>B10+B13+S23+T23-2</f>
        <v>111.15898612567958</v>
      </c>
      <c r="P23">
        <f>SQRT(N23^2*(1/(B10+S23)+1/(B13+T23)))</f>
        <v>370.90530396700166</v>
      </c>
      <c r="Q23">
        <f>((B8-B11)-_xlfn.T.INV(0.9,O23)*P23-B2)/(_xlfn.T.INV(0.9,O23)*P23+B2-H23)</f>
        <v>0.13158921688280678</v>
      </c>
      <c r="R23">
        <v>0.13158986125679561</v>
      </c>
      <c r="S23">
        <f>R23*B10</f>
        <v>6.5794930628397807</v>
      </c>
      <c r="T23">
        <f>R23*B13</f>
        <v>6.5794930628397807</v>
      </c>
      <c r="U23">
        <f t="shared" si="0"/>
        <v>6.4437398883399055E-7</v>
      </c>
    </row>
    <row r="24" spans="1:21" x14ac:dyDescent="0.3">
      <c r="A24" s="1" t="s">
        <v>17</v>
      </c>
      <c r="B24" s="4">
        <v>1</v>
      </c>
      <c r="D24">
        <v>17500</v>
      </c>
      <c r="E24">
        <v>16800</v>
      </c>
      <c r="G24">
        <v>-0.36</v>
      </c>
      <c r="H24">
        <v>-711.99732171016365</v>
      </c>
      <c r="I24">
        <f>((B8+B11)/2)+H24/2</f>
        <v>16560.001339144917</v>
      </c>
      <c r="J24">
        <f>((B8+B11)/2)-H24/2</f>
        <v>17271.998660855083</v>
      </c>
      <c r="K24">
        <f>((B8-B11)+(R24*H24))/(1+R24)</f>
        <v>476.95322968387092</v>
      </c>
      <c r="L24">
        <f>SQRT(((B10-1)*B9^2+(S24-1)*B25^2+(B10*S24)*(B8^2+I24^2-2*B8*I24)/(B10+S24))/(B10+S24-1))</f>
        <v>1968.9102621338961</v>
      </c>
      <c r="M24">
        <f>SQRT(((B13-1)*B12^2+(T24-1)*B26^2+(B13*T24)*(B11^2+J24^2-2*B11*J24)/(B13+T24))/(B13+T24-1))</f>
        <v>1976.1448741184656</v>
      </c>
      <c r="N24">
        <f>SQRT(((B10+S24-1)*L24^2+(B13+T24-1)*M24^2)/(B10+B13+S24+T24-2))</f>
        <v>1972.530884909138</v>
      </c>
      <c r="O24">
        <f>B10+B13+S24+T24-2</f>
        <v>111.71350306578842</v>
      </c>
      <c r="P24">
        <f>SQRT(N24^2*(1/(B10+S24)+1/(B13+T24)))</f>
        <v>369.9540518793637</v>
      </c>
      <c r="Q24">
        <f>((B8-B11)-_xlfn.T.INV(0.9,O24)*P24-B2)/(_xlfn.T.INV(0.9,O24)*P24+B2-H24)</f>
        <v>0.13713428918229645</v>
      </c>
      <c r="R24">
        <v>0.1371350306578841</v>
      </c>
      <c r="S24">
        <f>R24*B10</f>
        <v>6.8567515328942052</v>
      </c>
      <c r="T24">
        <f>R24*B13</f>
        <v>6.8567515328942052</v>
      </c>
      <c r="U24">
        <f t="shared" si="0"/>
        <v>7.4147558765114141E-7</v>
      </c>
    </row>
    <row r="25" spans="1:21" x14ac:dyDescent="0.3">
      <c r="A25" s="1" t="s">
        <v>41</v>
      </c>
      <c r="B25" s="6">
        <f>B9*B24</f>
        <v>1974.0934369880226</v>
      </c>
      <c r="D25">
        <v>18400</v>
      </c>
      <c r="E25">
        <v>16400</v>
      </c>
      <c r="G25">
        <v>-0.34</v>
      </c>
      <c r="H25">
        <v>-672.44191494848792</v>
      </c>
      <c r="I25">
        <f>((B8+B11)/2)+H25/2</f>
        <v>16579.779042525755</v>
      </c>
      <c r="J25">
        <f>((B8+B11)/2)-H25/2</f>
        <v>17252.220957474245</v>
      </c>
      <c r="K25">
        <f>((B8-B11)+(R25*H25))/(1+R25)</f>
        <v>475.6049686227048</v>
      </c>
      <c r="L25">
        <f>SQRT(((B10-1)*B9^2+(S25-1)*B25^2+(B10*S25)*(B8^2+I25^2-2*B8*I25)/(B10+S25))/(B10+S25-1))</f>
        <v>1968.673729032972</v>
      </c>
      <c r="M25">
        <f>SQRT(((B13-1)*B12^2+(T25-1)*B26^2+(B13*T25)*(B11^2+J25^2-2*B11*J25)/(B13+T25))/(B13+T25-1))</f>
        <v>1975.9099174326007</v>
      </c>
      <c r="N25">
        <f>SQRT(((B10+S25-1)*L25^2+(B13+T25-1)*M25^2)/(B10+B13+S25+T25-2))</f>
        <v>1972.2951418579694</v>
      </c>
      <c r="O25">
        <f>B10+B13+S25+T25-2</f>
        <v>112.31953988376475</v>
      </c>
      <c r="P25">
        <f>SQRT(N25^2*(1/(B10+S25)+1/(B13+T25)))</f>
        <v>368.9280418097768</v>
      </c>
      <c r="Q25">
        <f>((B8-B11)-_xlfn.T.INV(0.9,O25)*P25-B2)/(_xlfn.T.INV(0.9,O25)*P25+B2-H25)</f>
        <v>0.14319455264099831</v>
      </c>
      <c r="R25">
        <v>0.14319539883764745</v>
      </c>
      <c r="S25">
        <f>R25*B10</f>
        <v>7.1597699418823728</v>
      </c>
      <c r="T25">
        <f>R25*B13</f>
        <v>7.1597699418823728</v>
      </c>
      <c r="U25">
        <f t="shared" si="0"/>
        <v>8.4619664914020731E-7</v>
      </c>
    </row>
    <row r="26" spans="1:21" x14ac:dyDescent="0.3">
      <c r="A26" s="1" t="s">
        <v>42</v>
      </c>
      <c r="B26" s="6">
        <f>B12*B24</f>
        <v>1981.4404160733625</v>
      </c>
      <c r="D26">
        <v>19800</v>
      </c>
      <c r="E26">
        <v>18600</v>
      </c>
      <c r="G26">
        <v>-0.32</v>
      </c>
      <c r="H26">
        <v>-632.88650818681208</v>
      </c>
      <c r="I26">
        <f>((B8+B11)/2)+H26/2</f>
        <v>16599.556745906593</v>
      </c>
      <c r="J26">
        <f>((B8+B11)/2)-H26/2</f>
        <v>17232.443254093407</v>
      </c>
      <c r="K26">
        <f>((B8-B11)+(R26*H26))/(1+R26)</f>
        <v>474.18630197421595</v>
      </c>
      <c r="L26">
        <f>SQRT(((B10-1)*B9^2+(S26-1)*B25^2+(B10*S26)*(B8^2+I26^2-2*B8*I26)/(B10+S26))/(B10+S26-1))</f>
        <v>1968.441359358641</v>
      </c>
      <c r="M26">
        <f>SQRT(((B13-1)*B12^2+(T26-1)*B26^2+(B13*T26)*(B11^2+J26^2-2*B11*J26)/(B13+T26))/(B13+T26-1))</f>
        <v>1975.6791617313354</v>
      </c>
      <c r="N26">
        <f>SQRT(((B10+S26-1)*L26^2+(B13+T26-1)*M26^2)/(B10+B13+S26+T26-2))</f>
        <v>1972.0635810405718</v>
      </c>
      <c r="O26">
        <f>B10+B13+S26+T26-2</f>
        <v>112.97766872277043</v>
      </c>
      <c r="P26">
        <f>SQRT(N26^2*(1/(B10+S26)+1/(B13+T26)))</f>
        <v>367.82746932123462</v>
      </c>
      <c r="Q26">
        <f>((B8-B11)-_xlfn.T.INV(0.9,O26)*P26-B2)/(_xlfn.T.INV(0.9,O26)*P26+B2-H26)</f>
        <v>0.14977595321527376</v>
      </c>
      <c r="R26">
        <v>0.14977668722770435</v>
      </c>
      <c r="S26">
        <f>R26*B10</f>
        <v>7.4888343613852175</v>
      </c>
      <c r="T26">
        <f>R26*B13</f>
        <v>7.4888343613852175</v>
      </c>
      <c r="U26">
        <f t="shared" si="0"/>
        <v>7.3401243058657251E-7</v>
      </c>
    </row>
    <row r="27" spans="1:21" x14ac:dyDescent="0.3">
      <c r="A27" s="1" t="s">
        <v>43</v>
      </c>
      <c r="B27" s="6">
        <f>SQRT(((B10-1)*(B25^2)+(B13-1)*(B26^2))/(B10+B13-2))</f>
        <v>1977.7703380837931</v>
      </c>
      <c r="D27">
        <v>14800</v>
      </c>
      <c r="E27">
        <v>15600</v>
      </c>
      <c r="G27">
        <v>-0.3</v>
      </c>
      <c r="H27">
        <v>-593.33110142513624</v>
      </c>
      <c r="I27">
        <f>((B8+B11)/2)+H27/2</f>
        <v>16619.334449287431</v>
      </c>
      <c r="J27">
        <f>((B8+B11)/2)-H27/2</f>
        <v>17212.665550712569</v>
      </c>
      <c r="K27">
        <f>((B8-B11)+(R27*H27))/(1+R27)</f>
        <v>472.62126185410636</v>
      </c>
      <c r="L27">
        <f>SQRT(((B10-1)*B9^2+(S27-1)*B25^2+(B10*S27)*(B8^2+I27^2-2*B8*I27)/(B10+S27))/(B10+S27-1))</f>
        <v>1968.2189127957467</v>
      </c>
      <c r="M27">
        <f>SQRT(((B13-1)*B12^2+(T27-1)*B26^2+(B13*T27)*(B11^2+J27^2-2*B11*J27)/(B13+T27))/(B13+T27-1))</f>
        <v>1975.4583600032768</v>
      </c>
      <c r="N27">
        <f>SQRT(((B10+S27-1)*L27^2+(B13+T27-1)*M27^2)/(B10+B13+S27+T27-2))</f>
        <v>1971.8419587778465</v>
      </c>
      <c r="O27">
        <f>B10+B13+S27+T27-2</f>
        <v>113.70227187554403</v>
      </c>
      <c r="P27">
        <f>SQRT(N27^2*(1/(B10+S27)+1/(B13+T27)))</f>
        <v>366.63266534512866</v>
      </c>
      <c r="Q27">
        <f>((B8-B11)-_xlfn.T.INV(0.9,O27)*P27-B2)/(_xlfn.T.INV(0.9,O27)*P27+B2-H27)</f>
        <v>0.15702202677564098</v>
      </c>
      <c r="R27">
        <v>0.15702271875544038</v>
      </c>
      <c r="S27">
        <f>R27*B10</f>
        <v>7.8511359377720193</v>
      </c>
      <c r="T27">
        <f>R27*B13</f>
        <v>7.8511359377720193</v>
      </c>
      <c r="U27">
        <f t="shared" si="0"/>
        <v>6.9197979940538445E-7</v>
      </c>
    </row>
    <row r="28" spans="1:21" x14ac:dyDescent="0.3">
      <c r="A28" s="1" t="s">
        <v>78</v>
      </c>
      <c r="B28" s="3">
        <v>-0.8</v>
      </c>
      <c r="D28">
        <v>18200</v>
      </c>
      <c r="E28">
        <v>17100</v>
      </c>
      <c r="G28">
        <v>-0.28000000000000003</v>
      </c>
      <c r="H28">
        <v>-553.7756946634604</v>
      </c>
      <c r="I28">
        <f>((B8+B11)/2)+H28/2</f>
        <v>16639.112152668269</v>
      </c>
      <c r="J28">
        <f>((B8+B11)/2)-H28/2</f>
        <v>17192.887847331731</v>
      </c>
      <c r="K28">
        <f>((B8-B11)+(R28*H28))/(1+R28)</f>
        <v>470.92524950450411</v>
      </c>
      <c r="L28">
        <f>SQRT(((B10-1)*B9^2+(S28-1)*B25^2+(B10*S28)*(B8^2+I28^2-2*B8*I28)/(B10+S28))/(B10+S28-1))</f>
        <v>1968.0049572421035</v>
      </c>
      <c r="M28">
        <f>SQRT(((B13-1)*B12^2+(T28-1)*B26^2+(B13*T28)*(B11^2+J28^2-2*B11*J28)/(B13+T28))/(B13+T28-1))</f>
        <v>1975.2460900317969</v>
      </c>
      <c r="N28">
        <f>SQRT(((B10+S28-1)*L28^2+(B13+T28-1)*M28^2)/(B10+B13+S28+T28-2))</f>
        <v>1971.6288479218645</v>
      </c>
      <c r="O28">
        <f>B10+B13+S28+T28-2</f>
        <v>114.49991165303169</v>
      </c>
      <c r="P28">
        <f>SQRT(N28^2*(1/(B10+S28)+1/(B13+T28)))</f>
        <v>365.33590925097423</v>
      </c>
      <c r="Q28">
        <f>((B8-B11)-_xlfn.T.INV(0.9,O28)*P28-B2)/(_xlfn.T.INV(0.9,O28)*P28+B2-H28)</f>
        <v>0.16499829753180206</v>
      </c>
      <c r="R28">
        <v>0.16499911653031701</v>
      </c>
      <c r="S28">
        <f>R28*B10</f>
        <v>8.2499558265158512</v>
      </c>
      <c r="T28">
        <f>R28*B13</f>
        <v>8.2499558265158512</v>
      </c>
      <c r="U28">
        <f t="shared" si="0"/>
        <v>8.1899851495093046E-7</v>
      </c>
    </row>
    <row r="29" spans="1:21" x14ac:dyDescent="0.3">
      <c r="A29" s="1" t="s">
        <v>7</v>
      </c>
      <c r="B29" s="3">
        <f>0.8</f>
        <v>0.8</v>
      </c>
      <c r="D29">
        <v>16700</v>
      </c>
      <c r="E29">
        <v>18100</v>
      </c>
      <c r="G29">
        <v>-0.26</v>
      </c>
      <c r="H29">
        <v>-514.22028790178456</v>
      </c>
      <c r="I29">
        <f>((B8+B11)/2)+H29/2</f>
        <v>16658.889856049107</v>
      </c>
      <c r="J29">
        <f>((B8+B11)/2)-H29/2</f>
        <v>17173.110143950893</v>
      </c>
      <c r="K29">
        <f>((B8-B11)+(R29*H29))/(1+R29)</f>
        <v>469.07954280528543</v>
      </c>
      <c r="L29">
        <f>SQRT(((B10-1)*B9^2+(S29-1)*B25^2+(B10*S29)*(B8^2+I29^2-2*B8*I29)/(B10+S29))/(B10+S29-1))</f>
        <v>1967.8007009644857</v>
      </c>
      <c r="M29">
        <f>SQRT(((B13-1)*B12^2+(T29-1)*B26^2+(B13*T29)*(B11^2+J29^2-2*B11*J29)/(B13+T29))/(B13+T29-1))</f>
        <v>1975.0435654317748</v>
      </c>
      <c r="N29">
        <f>SQRT(((B10+S29-1)*L29^2+(B13+T29-1)*M29^2)/(B10+B13+S29+T29-2))</f>
        <v>1971.4254594163306</v>
      </c>
      <c r="O29">
        <f>B10+B13+S29+T29-2</f>
        <v>115.38233363386314</v>
      </c>
      <c r="P29">
        <f>SQRT(N29^2*(1/(B10+S29)+1/(B13+T29)))</f>
        <v>363.92256668398619</v>
      </c>
      <c r="Q29">
        <f>((B8-B11)-_xlfn.T.INV(0.9,O29)*P29-B2)/(_xlfn.T.INV(0.9,O29)*P29+B2-H29)</f>
        <v>0.17382235904056867</v>
      </c>
      <c r="R29">
        <v>0.17382333633863156</v>
      </c>
      <c r="S29">
        <f>R29*B10</f>
        <v>8.6911668169315774</v>
      </c>
      <c r="T29">
        <f>R29*B13</f>
        <v>8.6911668169315774</v>
      </c>
      <c r="U29">
        <f t="shared" si="0"/>
        <v>9.7729806289303944E-7</v>
      </c>
    </row>
    <row r="30" spans="1:21" x14ac:dyDescent="0.3">
      <c r="A30" s="1" t="s">
        <v>12</v>
      </c>
      <c r="B30" s="3">
        <v>0.02</v>
      </c>
      <c r="D30">
        <v>20200</v>
      </c>
      <c r="E30">
        <v>18900</v>
      </c>
      <c r="G30">
        <v>-0.24</v>
      </c>
      <c r="H30">
        <v>-474.66488114010878</v>
      </c>
      <c r="I30">
        <f>((B8+B11)/2)+H30/2</f>
        <v>16678.667559429945</v>
      </c>
      <c r="J30">
        <f>((B8+B11)/2)-H30/2</f>
        <v>17153.332440570055</v>
      </c>
      <c r="K30">
        <f>((B8-B11)+(R30*H30))/(1+R30)</f>
        <v>467.06183408742965</v>
      </c>
      <c r="L30">
        <f>SQRT(((B10-1)*B9^2+(S30-1)*B25^2+(B10*S30)*(B8^2+I30^2-2*B8*I30)/(B10+S30))/(B10+S30-1))</f>
        <v>1967.6075644966495</v>
      </c>
      <c r="M30">
        <f>SQRT(((B13-1)*B12^2+(T30-1)*B26^2+(B13*T30)*(B11^2+J30^2-2*B11*J30)/(B13+T30))/(B13+T30-1))</f>
        <v>1974.8522131740724</v>
      </c>
      <c r="N30">
        <f>SQRT(((B10+S30-1)*L30^2+(B13+T30-1)*M30^2)/(B10+B13+S30+T30-2))</f>
        <v>1971.2332170170744</v>
      </c>
      <c r="O30">
        <f>B10+B13+S30+T30-2</f>
        <v>116.363943925153</v>
      </c>
      <c r="P30">
        <f>SQRT(N30^2*(1/(B10+S30)+1/(B13+T30)))</f>
        <v>362.37505199149751</v>
      </c>
      <c r="Q30">
        <f>((B8-B11)-_xlfn.T.INV(0.9,O30)*P30-B2)/(_xlfn.T.INV(0.9,O30)*P30+B2-H30)</f>
        <v>0.18363870895606299</v>
      </c>
      <c r="R30">
        <v>0.18363943925152992</v>
      </c>
      <c r="S30">
        <f>R30*B10</f>
        <v>9.1819719625764957</v>
      </c>
      <c r="T30">
        <f>R30*B13</f>
        <v>9.1819719625764957</v>
      </c>
      <c r="U30">
        <f t="shared" si="0"/>
        <v>7.3029546693303971E-7</v>
      </c>
    </row>
    <row r="31" spans="1:21" x14ac:dyDescent="0.3">
      <c r="A31" s="1" t="s">
        <v>24</v>
      </c>
      <c r="B31" s="5">
        <v>1E-8</v>
      </c>
      <c r="D31">
        <v>16200</v>
      </c>
      <c r="E31">
        <v>19000</v>
      </c>
      <c r="G31">
        <v>-0.22</v>
      </c>
      <c r="H31">
        <v>-435.10947437843299</v>
      </c>
      <c r="I31">
        <f>((B8+B11)/2)+H31/2</f>
        <v>16698.445262810783</v>
      </c>
      <c r="J31">
        <f>((B8+B11)/2)-H31/2</f>
        <v>17133.554737189217</v>
      </c>
      <c r="K31">
        <f>((B8-B11)+(R31*H31))/(1+R31)</f>
        <v>464.84354052366189</v>
      </c>
      <c r="L31">
        <f>SQRT(((B10-1)*B9^2+(S31-1)*B25^2+(B10*S31)*(B8^2+I31^2-2*B8*I31)/(B10+S31))/(B10+S31-1))</f>
        <v>1967.427348592355</v>
      </c>
      <c r="M31">
        <f>SQRT(((B13-1)*B12^2+(T31-1)*B26^2+(B13*T31)*(B11^2+J31^2-2*B11*J31)/(B13+T31))/(B13+T31-1))</f>
        <v>1974.673841643541</v>
      </c>
      <c r="N31">
        <f>SQRT(((B10+S31-1)*L31^2+(B13+T31-1)*M31^2)/(B10+B13+S31+T31-2))</f>
        <v>1971.0539252973781</v>
      </c>
      <c r="O31">
        <f>B10+B13+S31+T31-2</f>
        <v>117.46284490145226</v>
      </c>
      <c r="P31">
        <f>SQRT(N31^2*(1/(B10+S31)+1/(B13+T31)))</f>
        <v>360.67170705826766</v>
      </c>
      <c r="Q31">
        <f>((B8-B11)-_xlfn.T.INV(0.9,O31)*P31-B2)/(_xlfn.T.INV(0.9,O31)*P31+B2-H31)</f>
        <v>0.19462753743649464</v>
      </c>
      <c r="R31">
        <v>0.19462844901452253</v>
      </c>
      <c r="S31">
        <f>R31*B10</f>
        <v>9.7314224507261269</v>
      </c>
      <c r="T31">
        <f>R31*B13</f>
        <v>9.7314224507261269</v>
      </c>
      <c r="U31">
        <f t="shared" si="0"/>
        <v>9.1157802789565423E-7</v>
      </c>
    </row>
    <row r="32" spans="1:21" x14ac:dyDescent="0.3">
      <c r="A32" s="1" t="s">
        <v>16</v>
      </c>
      <c r="B32" s="3">
        <v>7</v>
      </c>
      <c r="D32">
        <v>20400</v>
      </c>
      <c r="E32">
        <v>17300</v>
      </c>
      <c r="G32">
        <v>-0.2</v>
      </c>
      <c r="H32">
        <v>-395.55406761675721</v>
      </c>
      <c r="I32">
        <f>((B8+B11)/2)+H32/2</f>
        <v>16718.222966191621</v>
      </c>
      <c r="J32">
        <f>((B8+B11)/2)-H32/2</f>
        <v>17113.777033808379</v>
      </c>
      <c r="K32">
        <f>((B8-B11)+(R32*H32))/(1+R32)</f>
        <v>462.39138234933426</v>
      </c>
      <c r="L32">
        <f>SQRT(((B10-1)*B9^2+(S32-1)*B25^2+(B10*S32)*(B8^2+I32^2-2*B8*I32)/(B10+S32))/(B10+S32-1))</f>
        <v>1967.2621047418681</v>
      </c>
      <c r="M32">
        <f>SQRT(((B13-1)*B12^2+(T32-1)*B26^2+(B13*T32)*(B11^2+J32^2-2*B11*J32)/(B13+T32))/(B13+T32-1))</f>
        <v>1974.5105118882555</v>
      </c>
      <c r="N32">
        <f>SQRT(((B10+S32-1)*L32^2+(B13+T32-1)*M32^2)/(B10+B13+S32+T32-2))</f>
        <v>1970.889640531735</v>
      </c>
      <c r="O32">
        <f>B10+B13+S32+T32-2</f>
        <v>118.70162125781837</v>
      </c>
      <c r="P32">
        <f>SQRT(N32^2*(1/(B10+S32)+1/(B13+T32)))</f>
        <v>358.78621670348525</v>
      </c>
      <c r="Q32">
        <f>((B8-B11)-_xlfn.T.INV(0.9,O32)*P32-B2)/(_xlfn.T.INV(0.9,O32)*P32+B2-H32)</f>
        <v>0.20701548792537935</v>
      </c>
      <c r="R32">
        <v>0.20701621257818359</v>
      </c>
      <c r="S32">
        <f>R32*B10</f>
        <v>10.35081062890918</v>
      </c>
      <c r="T32">
        <f>R32*B13</f>
        <v>10.35081062890918</v>
      </c>
      <c r="U32">
        <f t="shared" si="0"/>
        <v>7.2465280423483769E-7</v>
      </c>
    </row>
    <row r="33" spans="4:21" x14ac:dyDescent="0.3">
      <c r="D33">
        <v>17900</v>
      </c>
      <c r="E33">
        <v>18800</v>
      </c>
      <c r="G33">
        <v>-0.18</v>
      </c>
      <c r="H33">
        <v>-355.99866085508143</v>
      </c>
      <c r="I33">
        <f>((B8+B11)/2)+H33/2</f>
        <v>16738.000669572459</v>
      </c>
      <c r="J33">
        <f>((B8+B11)/2)-H33/2</f>
        <v>17093.999330427541</v>
      </c>
      <c r="K33">
        <f>((B8-B11)+(R33*H33))/(1+R33)</f>
        <v>459.63294608600825</v>
      </c>
      <c r="L33">
        <f>SQRT(((B10-1)*B9^2+(S33-1)*B25^2+(B10*S33)*(B8^2+I33^2-2*B8*I33)/(B10+S33))/(B10+S33-1))</f>
        <v>1967.1162493213881</v>
      </c>
      <c r="M33">
        <f>SQRT(((B13-1)*B12^2+(T33-1)*B26^2+(B13*T33)*(B11^2+J33^2-2*B11*J33)/(B13+T33))/(B13+T33-1))</f>
        <v>1974.3666498253363</v>
      </c>
      <c r="N33">
        <f>SQRT(((B10+S33-1)*L33^2+(B13+T33-1)*M33^2)/(B10+B13+S33+T33-2))</f>
        <v>1970.7447838681151</v>
      </c>
      <c r="O33">
        <f>B10+B13+S33+T33-2</f>
        <v>120.11378916401154</v>
      </c>
      <c r="P33">
        <f>SQRT(N33^2*(1/(B10+S33)+1/(B13+T33)))</f>
        <v>356.67940020797886</v>
      </c>
      <c r="Q33">
        <f>((B8-B11)-_xlfn.T.INV(0.9,O33)*P33-B2)/(_xlfn.T.INV(0.9,O33)*P33+B2-H33)</f>
        <v>0.22113696397307228</v>
      </c>
      <c r="R33">
        <v>0.22113789164011527</v>
      </c>
      <c r="S33">
        <f>R33*B10</f>
        <v>11.056894582005764</v>
      </c>
      <c r="T33">
        <f>R33*B13</f>
        <v>11.056894582005764</v>
      </c>
      <c r="U33">
        <f t="shared" si="0"/>
        <v>9.2766704298807845E-7</v>
      </c>
    </row>
    <row r="34" spans="4:21" x14ac:dyDescent="0.3">
      <c r="D34">
        <v>15500</v>
      </c>
      <c r="E34">
        <v>14900</v>
      </c>
      <c r="G34">
        <v>-0.16</v>
      </c>
      <c r="H34">
        <v>-316.44325409340564</v>
      </c>
      <c r="I34">
        <f>((B8+B11)/2)+H34/2</f>
        <v>16757.778372953297</v>
      </c>
      <c r="J34">
        <f>((B8+B11)/2)-H34/2</f>
        <v>17074.221627046703</v>
      </c>
      <c r="K34">
        <f>((B8-B11)+(R34*H34))/(1+R34)</f>
        <v>456.57370890594717</v>
      </c>
      <c r="L34">
        <f>SQRT(((B10-1)*B9^2+(S34-1)*B25^2+(B10*S34)*(B8^2+I34^2-2*B8*I34)/(B10+S34))/(B10+S34-1))</f>
        <v>1966.9892753157721</v>
      </c>
      <c r="M34">
        <f>SQRT(((B13-1)*B12^2+(T34-1)*B26^2+(B13*T34)*(B11^2+J34^2-2*B11*J34)/(B13+T34))/(B13+T34-1))</f>
        <v>1974.2417678917857</v>
      </c>
      <c r="N34">
        <f>SQRT(((B10+S34-1)*L34^2+(B13+T34-1)*M34^2)/(B10+B13+S34+T34-2))</f>
        <v>1970.6188580361943</v>
      </c>
      <c r="O34">
        <f>B10+B13+S34+T34-2</f>
        <v>121.72862432181924</v>
      </c>
      <c r="P34">
        <f>SQRT(N34^2*(1/(B10+S34)+1/(B13+T34)))</f>
        <v>354.32152626937813</v>
      </c>
      <c r="Q34">
        <f>((B8-B11)-_xlfn.T.INV(0.9,O34)*P34-B2)/(_xlfn.T.INV(0.9,O34)*P34+B2-H34)</f>
        <v>0.23728544248928424</v>
      </c>
      <c r="R34">
        <v>0.23728624321819242</v>
      </c>
      <c r="S34">
        <f>R34*B10</f>
        <v>11.864312160909622</v>
      </c>
      <c r="T34">
        <f>R34*B13</f>
        <v>11.864312160909622</v>
      </c>
      <c r="U34">
        <f t="shared" si="0"/>
        <v>8.0072890817906028E-7</v>
      </c>
    </row>
    <row r="35" spans="4:21" x14ac:dyDescent="0.3">
      <c r="D35">
        <v>15400</v>
      </c>
      <c r="E35">
        <v>16700</v>
      </c>
      <c r="G35">
        <v>-0.14000000000000001</v>
      </c>
      <c r="H35">
        <v>-276.88784733172986</v>
      </c>
      <c r="I35">
        <f>((B8+B11)/2)+H35/2</f>
        <v>16777.556076334135</v>
      </c>
      <c r="J35">
        <f>((B8+B11)/2)-H35/2</f>
        <v>17054.443923665865</v>
      </c>
      <c r="K35">
        <f>((B8-B11)+(R35*H35))/(1+R35)</f>
        <v>453.08642651910594</v>
      </c>
      <c r="L35">
        <f>SQRT(((B10-1)*B9^2+(S35-1)*B25^2+(B10*S35)*(B8^2+I35^2-2*B8*I35)/(B10+S35))/(B10+S35-1))</f>
        <v>1966.8887046233219</v>
      </c>
      <c r="M35">
        <f>SQRT(((B13-1)*B12^2+(T35-1)*B26^2+(B13*T35)*(B11^2+J35^2-2*B11*J35)/(B13+T35))/(B13+T35-1))</f>
        <v>1974.1434029582331</v>
      </c>
      <c r="N35">
        <f>SQRT(((B10+S35-1)*L35^2+(B13+T35-1)*M35^2)/(B10+B13+S35+T35-2))</f>
        <v>1970.5193924214909</v>
      </c>
      <c r="O35">
        <f>B10+B13+S35+T35-2</f>
        <v>123.60550147813677</v>
      </c>
      <c r="P35">
        <f>SQRT(N35^2*(1/(B10+S35)+1/(B13+T35)))</f>
        <v>351.64656384677824</v>
      </c>
      <c r="Q35">
        <f>((B8-B11)-_xlfn.T.INV(0.9,O35)*P35-B2)/(_xlfn.T.INV(0.9,O35)*P35+B2-H35)</f>
        <v>0.25605430898337189</v>
      </c>
      <c r="R35">
        <v>0.25605501478136788</v>
      </c>
      <c r="S35">
        <f>R35*B10</f>
        <v>12.802750739068394</v>
      </c>
      <c r="T35">
        <f>R35*B13</f>
        <v>12.802750739068394</v>
      </c>
      <c r="U35">
        <f t="shared" si="0"/>
        <v>7.0579799599235216E-7</v>
      </c>
    </row>
    <row r="36" spans="4:21" x14ac:dyDescent="0.3">
      <c r="D36">
        <v>17700</v>
      </c>
      <c r="E36">
        <v>20300</v>
      </c>
      <c r="G36">
        <v>-0.12</v>
      </c>
      <c r="H36">
        <v>-237.33244057005405</v>
      </c>
      <c r="I36">
        <f>((B8+B11)/2)+H36/2</f>
        <v>16797.333779714972</v>
      </c>
      <c r="J36">
        <f>((B8+B11)/2)-H36/2</f>
        <v>17034.666220285028</v>
      </c>
      <c r="K36">
        <f>((B8-B11)+(R36*H36))/(1+R36)</f>
        <v>449.10967542012344</v>
      </c>
      <c r="L36">
        <f>SQRT(((B10-1)*B9^2+(S36-1)*B25^2+(B10*S36)*(B8^2+I36^2-2*B8*I36)/(B10+S36))/(B10+S36-1))</f>
        <v>1966.8178672908564</v>
      </c>
      <c r="M36">
        <f>SQRT(((B13-1)*B12^2+(T36-1)*B26^2+(B13*T36)*(B11^2+J36^2-2*B11*J36)/(B13+T36))/(B13+T36-1))</f>
        <v>1974.0749116294517</v>
      </c>
      <c r="N36">
        <f>SQRT(((B10+S36-1)*L36^2+(B13+T36-1)*M36^2)/(B10+B13+S36+T36-2))</f>
        <v>1970.4497303686005</v>
      </c>
      <c r="O36">
        <f>B10+B13+S36+T36-2</f>
        <v>125.80865569480997</v>
      </c>
      <c r="P36">
        <f>SQRT(N36^2*(1/(B10+S36)+1/(B13+T36)))</f>
        <v>348.59023886030087</v>
      </c>
      <c r="Q36">
        <f>((B8-B11)-_xlfn.T.INV(0.9,O36)*P36-B2)/(_xlfn.T.INV(0.9,O36)*P36+B2-H36)</f>
        <v>0.27808588094077791</v>
      </c>
      <c r="R36">
        <v>0.27808655694809969</v>
      </c>
      <c r="S36">
        <f>R36*B10</f>
        <v>13.904327847404986</v>
      </c>
      <c r="T36">
        <f>R36*B13</f>
        <v>13.904327847404986</v>
      </c>
      <c r="U36">
        <f t="shared" si="0"/>
        <v>6.7600732178707545E-7</v>
      </c>
    </row>
    <row r="37" spans="4:21" x14ac:dyDescent="0.3">
      <c r="D37">
        <v>17100</v>
      </c>
      <c r="E37">
        <v>17100</v>
      </c>
      <c r="G37">
        <v>-0.1</v>
      </c>
      <c r="H37">
        <v>-197.77703380837823</v>
      </c>
      <c r="I37">
        <f>((B8+B11)/2)+H37/2</f>
        <v>16817.11148309581</v>
      </c>
      <c r="J37">
        <f>((B8+B11)/2)-H37/2</f>
        <v>17014.88851690419</v>
      </c>
      <c r="K37">
        <f>((B8-B11)+(R37*H37))/(1+R37)</f>
        <v>444.49458958614156</v>
      </c>
      <c r="L37">
        <f>SQRT(((B10-1)*B9^2+(S37-1)*B25^2+(B10*S37)*(B8^2+I37^2-2*B8*I37)/(B10+S37))/(B10+S37-1))</f>
        <v>1966.7848711816109</v>
      </c>
      <c r="M37">
        <f>SQRT(((B13-1)*B12^2+(T37-1)*B26^2+(B13*T37)*(B11^2+J37^2-2*B11*J37)/(B13+T37))/(B13+T37-1))</f>
        <v>1974.0444338433485</v>
      </c>
      <c r="N37">
        <f>SQRT(((B10+S37-1)*L37^2+(B13+T37-1)*M37^2)/(B10+B13+S37+T37-2))</f>
        <v>1970.4179957938838</v>
      </c>
      <c r="O37">
        <f>B10+B13+S37+T37-2</f>
        <v>128.43967743438165</v>
      </c>
      <c r="P37">
        <f>SQRT(N37^2*(1/(B10+S37)+1/(B13+T37)))</f>
        <v>345.05116879582374</v>
      </c>
      <c r="Q37">
        <f>((B8-B11)-_xlfn.T.INV(0.9,O37)*P37-B2)/(_xlfn.T.INV(0.9,O37)*P37+B2-H37)</f>
        <v>0.30439577794781941</v>
      </c>
      <c r="R37">
        <v>0.30439677434381662</v>
      </c>
      <c r="S37">
        <f>R37*B10</f>
        <v>15.21983871719083</v>
      </c>
      <c r="T37">
        <f>R37*B13</f>
        <v>15.21983871719083</v>
      </c>
      <c r="U37">
        <f t="shared" si="0"/>
        <v>9.963959972103531E-7</v>
      </c>
    </row>
    <row r="38" spans="4:21" x14ac:dyDescent="0.3">
      <c r="D38">
        <v>17900</v>
      </c>
      <c r="E38">
        <v>14600</v>
      </c>
      <c r="G38">
        <v>-0.08</v>
      </c>
      <c r="H38">
        <v>-158.22162704670242</v>
      </c>
      <c r="I38">
        <f>((B8+B11)/2)+H38/2</f>
        <v>16836.889186476648</v>
      </c>
      <c r="J38">
        <f>((B8+B11)/2)-H38/2</f>
        <v>16995.110813523352</v>
      </c>
      <c r="K38">
        <f>((B8-B11)+(R38*H38))/(1+R38)</f>
        <v>439.10285573347738</v>
      </c>
      <c r="L38">
        <f>SQRT(((B10-1)*B9^2+(S38-1)*B25^2+(B10*S38)*(B8^2+I38^2-2*B8*I38)/(B10+S38))/(B10+S38-1))</f>
        <v>1966.7969076801373</v>
      </c>
      <c r="M38">
        <f>SQRT(((B13-1)*B12^2+(T38-1)*B26^2+(B13*T38)*(B11^2+J38^2-2*B11*J38)/(B13+T38))/(B13+T38-1))</f>
        <v>1974.05920649942</v>
      </c>
      <c r="N38">
        <f>SQRT(((B10+S38-1)*L38^2+(B13+T38-1)*M38^2)/(B10+B13+S38+T38-2))</f>
        <v>1970.4314028690862</v>
      </c>
      <c r="O38">
        <f>B10+B13+S38+T38-2</f>
        <v>131.63283274970905</v>
      </c>
      <c r="P38">
        <f>SQRT(N38^2*(1/(B10+S38)+1/(B13+T38)))</f>
        <v>340.90606565010609</v>
      </c>
      <c r="Q38">
        <f>((B8-B11)-_xlfn.T.INV(0.9,O38)*P38-B2)/(_xlfn.T.INV(0.9,O38)*P38+B2-H38)</f>
        <v>0.3363276007626198</v>
      </c>
      <c r="R38">
        <v>0.33632832749709063</v>
      </c>
      <c r="S38">
        <f>R38*B10</f>
        <v>16.81641637485453</v>
      </c>
      <c r="T38">
        <f>R38*B13</f>
        <v>16.81641637485453</v>
      </c>
      <c r="U38">
        <f t="shared" si="0"/>
        <v>7.2673447082394205E-7</v>
      </c>
    </row>
    <row r="39" spans="4:21" x14ac:dyDescent="0.3">
      <c r="D39">
        <v>17400</v>
      </c>
      <c r="E39">
        <v>17200</v>
      </c>
      <c r="G39">
        <v>-0.06</v>
      </c>
      <c r="H39">
        <v>-118.66622028502663</v>
      </c>
      <c r="I39">
        <f>((B8+B11)/2)+H39/2</f>
        <v>16856.666889857486</v>
      </c>
      <c r="J39">
        <f>((B8+B11)/2)-H39/2</f>
        <v>16975.333110142514</v>
      </c>
      <c r="K39">
        <f>((B8-B11)+(R39*H39))/(1+R39)</f>
        <v>432.66929024007993</v>
      </c>
      <c r="L39">
        <f>SQRT(((B10-1)*B9^2+(S39-1)*B25^2+(B10*S39)*(B8^2+I39^2-2*B8*I39)/(B10+S39))/(B10+S39-1))</f>
        <v>1966.8673639332055</v>
      </c>
      <c r="M39">
        <f>SQRT(((B13-1)*B12^2+(T39-1)*B26^2+(B13*T39)*(B11^2+J39^2-2*B11*J39)/(B13+T39))/(B13+T39-1))</f>
        <v>1974.1326795679859</v>
      </c>
      <c r="N39">
        <f>SQRT(((B10+S39-1)*L39^2+(B13+T39-1)*M39^2)/(B10+B13+S39+T39-2))</f>
        <v>1970.5033701879113</v>
      </c>
      <c r="O39">
        <f>B10+B13+S39+T39-2</f>
        <v>135.60517975024914</v>
      </c>
      <c r="P39">
        <f>SQRT(N39^2*(1/(B10+S39)+1/(B13+T39)))</f>
        <v>335.96171276037643</v>
      </c>
      <c r="Q39">
        <f>((B8-B11)-_xlfn.T.INV(0.9,O39)*P39-B2)/(_xlfn.T.INV(0.9,O39)*P39+B2-H39)</f>
        <v>0.37605094080071005</v>
      </c>
      <c r="R39">
        <v>0.37605179750249135</v>
      </c>
      <c r="S39">
        <f>R39*B10</f>
        <v>18.802589875124568</v>
      </c>
      <c r="T39">
        <f>R39*B13</f>
        <v>18.802589875124568</v>
      </c>
      <c r="U39">
        <f t="shared" si="0"/>
        <v>8.5670178129326757E-7</v>
      </c>
    </row>
    <row r="40" spans="4:21" x14ac:dyDescent="0.3">
      <c r="D40">
        <v>18200</v>
      </c>
      <c r="E40">
        <v>13000</v>
      </c>
      <c r="G40">
        <v>-0.04</v>
      </c>
      <c r="H40">
        <v>-79.110813523350814</v>
      </c>
      <c r="I40">
        <f>((B8+B11)/2)+H40/2</f>
        <v>16876.444593238324</v>
      </c>
      <c r="J40">
        <f>((B8+B11)/2)-H40/2</f>
        <v>16955.555406761676</v>
      </c>
      <c r="K40">
        <f>((B8-B11)+(R40*H40))/(1+R40)</f>
        <v>424.84083134805917</v>
      </c>
      <c r="L40">
        <f>SQRT(((B10-1)*B9^2+(S40-1)*B25^2+(B10*S40)*(B8^2+I40^2-2*B8*I40)/(B10+S40))/(B10+S40-1))</f>
        <v>1967.013063966913</v>
      </c>
      <c r="M40">
        <f>SQRT(((B13-1)*B12^2+(T40-1)*B26^2+(B13*T40)*(B11^2+J40^2-2*B11*J40)/(B13+T40))/(B13+T40-1))</f>
        <v>1974.2817699129164</v>
      </c>
      <c r="N40">
        <f>SQRT(((B10+S40-1)*L40^2+(B13+T40-1)*M40^2)/(B10+B13+S40+T40-2))</f>
        <v>1970.6507682523279</v>
      </c>
      <c r="O40">
        <f>B10+B13+S40+T40-2</f>
        <v>140.69440745785076</v>
      </c>
      <c r="P40">
        <f>SQRT(N40^2*(1/(B10+S40)+1/(B13+T40)))</f>
        <v>329.94092409847087</v>
      </c>
      <c r="Q40">
        <f>((B8-B11)-_xlfn.T.INV(0.9,O40)*P40-B2)/(_xlfn.T.INV(0.9,O40)*P40+B2-H40)</f>
        <v>0.42694327661648557</v>
      </c>
      <c r="R40">
        <v>0.42694407457850758</v>
      </c>
      <c r="S40">
        <f>R40*B10</f>
        <v>21.347203728925379</v>
      </c>
      <c r="T40">
        <f>R40*B13</f>
        <v>21.347203728925379</v>
      </c>
      <c r="U40">
        <f t="shared" si="0"/>
        <v>7.9796202201443123E-7</v>
      </c>
    </row>
    <row r="41" spans="4:21" x14ac:dyDescent="0.3">
      <c r="D41">
        <v>16200</v>
      </c>
      <c r="E41">
        <v>18400</v>
      </c>
      <c r="G41">
        <v>-0.02</v>
      </c>
      <c r="H41">
        <v>-39.555406761675016</v>
      </c>
      <c r="I41">
        <f>((B8+B11)/2)+H41/2</f>
        <v>16896.222296619162</v>
      </c>
      <c r="J41">
        <f>((B8+B11)/2)-H41/2</f>
        <v>16935.777703380838</v>
      </c>
      <c r="K41">
        <f>((B8-B11)+(R41*H41))/(1+R41)</f>
        <v>415.03420644368759</v>
      </c>
      <c r="L41">
        <f>SQRT(((B10-1)*B9^2+(S41-1)*B25^2+(B10*S41)*(B8^2+I41^2-2*B8*I41)/(B10+S41))/(B10+S41-1))</f>
        <v>1967.2601932618786</v>
      </c>
      <c r="M41">
        <f>SQRT(((B13-1)*B12^2+(T41-1)*B26^2+(B13*T41)*(B11^2+J41^2-2*B11*J41)/(B13+T41))/(B13+T41-1))</f>
        <v>1974.5328077877111</v>
      </c>
      <c r="N41">
        <f>SQRT(((B10+S41-1)*L41^2+(B13+T41-1)*M41^2)/(B10+B13+S41+T41-2))</f>
        <v>1970.8998550183601</v>
      </c>
      <c r="O41">
        <f>B10+B13+S41+T41-2</f>
        <v>147.48766690247348</v>
      </c>
      <c r="P41">
        <f>SQRT(N41^2*(1/(B10+S41)+1/(B13+T41)))</f>
        <v>322.39765282973411</v>
      </c>
      <c r="Q41">
        <f>((B8-B11)-_xlfn.T.INV(0.9,O41)*P41-B2)/(_xlfn.T.INV(0.9,O41)*P41+B2-H41)</f>
        <v>0.49487578807919747</v>
      </c>
      <c r="R41">
        <v>0.49487666902473482</v>
      </c>
      <c r="S41">
        <f>R41*B10</f>
        <v>24.743833451236739</v>
      </c>
      <c r="T41">
        <f>R41*B13</f>
        <v>24.743833451236739</v>
      </c>
      <c r="U41">
        <f t="shared" si="0"/>
        <v>8.8094553735151848E-7</v>
      </c>
    </row>
    <row r="42" spans="4:21" x14ac:dyDescent="0.3">
      <c r="D42">
        <v>18500</v>
      </c>
      <c r="E42">
        <v>16900</v>
      </c>
      <c r="G42">
        <v>0</v>
      </c>
      <c r="H42">
        <v>7.8224169690871445E-13</v>
      </c>
      <c r="I42">
        <f>((B8+B11)/2)+H42/2</f>
        <v>16916</v>
      </c>
      <c r="J42">
        <f>((B8+B11)/2)-H42/2</f>
        <v>16916</v>
      </c>
      <c r="K42">
        <f>((B8-B11)+(R42*H42))/(1+R42)</f>
        <v>402.2685246491539</v>
      </c>
      <c r="L42">
        <f>SQRT(((B10-1)*B9^2+(S42-1)*B25^2+(B10*S42)*(B8^2+I42^2-2*B8*I42)/(B10+S42))/(B10+S42-1))</f>
        <v>1967.6494182780557</v>
      </c>
      <c r="M42">
        <f>SQRT(((B13-1)*B12^2+(T42-1)*B26^2+(B13*T42)*(B11^2+J42^2-2*B11*J42)/(B13+T42))/(B13+T42-1))</f>
        <v>1974.9267027688309</v>
      </c>
      <c r="N42">
        <f>SQRT(((B10+S42-1)*L42^2+(B13+T42-1)*M42^2)/(B10+B13+S42+T42-2))</f>
        <v>1971.2914186592677</v>
      </c>
      <c r="O42">
        <f>B10+B13+S42+T42-2</f>
        <v>157.09770732328326</v>
      </c>
      <c r="P42">
        <f>SQRT(N42^2*(1/(B10+S42)+1/(B13+T42)))</f>
        <v>312.57113257319799</v>
      </c>
      <c r="Q42">
        <f>((B8-B11)-_xlfn.T.INV(0.9,O42)*P42-B2)/(_xlfn.T.INV(0.9,O42)*P42+B2-H42)</f>
        <v>0.590976184695715</v>
      </c>
      <c r="R42">
        <v>0.59097707323283255</v>
      </c>
      <c r="S42">
        <f>R42*B10</f>
        <v>29.548853661641626</v>
      </c>
      <c r="T42">
        <f>R42*B13</f>
        <v>29.548853661641626</v>
      </c>
      <c r="U42">
        <f t="shared" si="0"/>
        <v>8.8853711754932618E-7</v>
      </c>
    </row>
    <row r="43" spans="4:21" x14ac:dyDescent="0.3">
      <c r="D43">
        <v>16900</v>
      </c>
      <c r="E43">
        <v>13300</v>
      </c>
      <c r="G43">
        <v>0.02</v>
      </c>
      <c r="H43">
        <v>39.555406761676579</v>
      </c>
      <c r="I43">
        <f>((B8+B11)/2)+H43/2</f>
        <v>16935.777703380838</v>
      </c>
      <c r="J43">
        <f>((B8+B11)/2)-H43/2</f>
        <v>16896.222296619162</v>
      </c>
      <c r="K43">
        <f>((B8-B11)+(R43*H43))/(1+R43)</f>
        <v>384.62684285328646</v>
      </c>
      <c r="L43">
        <f>SQRT(((B10-1)*B9^2+(S43-1)*B25^2+(B10*S43)*(B8^2+I43^2-2*B8*I43)/(B10+S43))/(B10+S43-1))</f>
        <v>1968.2526837546777</v>
      </c>
      <c r="M43">
        <f>SQRT(((B13-1)*B12^2+(T43-1)*B26^2+(B13*T43)*(B11^2+J43^2-2*B11*J43)/(B13+T43))/(B13+T43-1))</f>
        <v>1975.5358619717583</v>
      </c>
      <c r="N43">
        <f>SQRT(((B10+S43-1)*L43^2+(B13+T43-1)*M43^2)/(B10+B13+S43+T43-2))</f>
        <v>1971.8976354065633</v>
      </c>
      <c r="O43">
        <f>B10+B13+S43+T43-2</f>
        <v>172.0058812282906</v>
      </c>
      <c r="P43">
        <f>SQRT(N43^2*(1/(B10+S43)+1/(B13+T43)))</f>
        <v>298.97329527761565</v>
      </c>
      <c r="Q43">
        <f>((B8-B11)-_xlfn.T.INV(0.9,O43)*P43-B2)/(_xlfn.T.INV(0.9,O43)*P43+B2-H43)</f>
        <v>0.7400578832496626</v>
      </c>
      <c r="R43">
        <v>0.74005881228290638</v>
      </c>
      <c r="S43">
        <f>R43*B10</f>
        <v>37.002940614145317</v>
      </c>
      <c r="T43">
        <f>R43*B13</f>
        <v>37.002940614145317</v>
      </c>
      <c r="U43">
        <f t="shared" si="0"/>
        <v>9.2903324377946461E-7</v>
      </c>
    </row>
    <row r="44" spans="4:21" x14ac:dyDescent="0.3">
      <c r="D44">
        <v>17600</v>
      </c>
      <c r="E44">
        <v>16300</v>
      </c>
      <c r="G44">
        <v>0.04</v>
      </c>
      <c r="H44">
        <v>79.110813523352377</v>
      </c>
      <c r="I44">
        <f>((B8+B11)/2)+H44/2</f>
        <v>16955.555406761676</v>
      </c>
      <c r="J44">
        <f>((B8+B11)/2)-H44/2</f>
        <v>16876.444593238324</v>
      </c>
      <c r="K44">
        <f>((B8-B11)+(R44*H44))/(1+R44)</f>
        <v>357.32024818590935</v>
      </c>
      <c r="L44">
        <f>SQRT(((B10-1)*B9^2+(S44-1)*B25^2+(B10*S44)*(B8^2+I44^2-2*B8*I44)/(B10+S44))/(B10+S44-1))</f>
        <v>1969.2271902262385</v>
      </c>
      <c r="M44">
        <f>SQRT(((B13-1)*B12^2+(T44-1)*B26^2+(B13*T44)*(B11^2+J44^2-2*B11*J44)/(B13+T44))/(B13+T44-1))</f>
        <v>1976.5185975667471</v>
      </c>
      <c r="N44">
        <f>SQRT(((B10+S44-1)*L44^2+(B13+T44-1)*M44^2)/(B10+B13+S44+T44-2))</f>
        <v>1972.8762623709511</v>
      </c>
      <c r="O44">
        <f>B10+B13+S44+T44-2</f>
        <v>199.60681723714936</v>
      </c>
      <c r="P44">
        <f>SQRT(N44^2*(1/(B10+S44)+1/(B13+T44)))</f>
        <v>277.89276267535047</v>
      </c>
      <c r="Q44">
        <f>((B8-B11)-_xlfn.T.INV(0.9,O44)*P44-B2)/(_xlfn.T.INV(0.9,O44)*P44+B2-H44)</f>
        <v>1.0160690269689154</v>
      </c>
      <c r="R44">
        <v>1.0160681723714933</v>
      </c>
      <c r="S44">
        <f>R44*B10</f>
        <v>50.803408618574665</v>
      </c>
      <c r="T44">
        <f>R44*B13</f>
        <v>50.803408618574665</v>
      </c>
      <c r="U44">
        <f t="shared" si="0"/>
        <v>8.5459742216187351E-7</v>
      </c>
    </row>
    <row r="45" spans="4:21" x14ac:dyDescent="0.3">
      <c r="D45">
        <v>14400</v>
      </c>
      <c r="E45">
        <v>15900</v>
      </c>
      <c r="G45">
        <v>0.06</v>
      </c>
      <c r="H45">
        <v>118.66622028502819</v>
      </c>
      <c r="I45">
        <f>((B8+B11)/2)+H45/2</f>
        <v>16975.333110142514</v>
      </c>
      <c r="J45">
        <f>((B8+B11)/2)-H45/2</f>
        <v>16856.666889857486</v>
      </c>
      <c r="K45">
        <f>((B8-B11)+(R45*H45))/(1+R45)</f>
        <v>295.32507036151753</v>
      </c>
      <c r="L45">
        <f>SQRT(((B10-1)*B9^2+(S45-1)*B25^2+(B10*S45)*(B8^2+I45^2-2*B8*I45)/(B10+S45))/(B10+S45-1))</f>
        <v>1971.2381939442421</v>
      </c>
      <c r="M45">
        <f>SQRT(((B13-1)*B12^2+(T45-1)*B26^2+(B13*T45)*(B11^2+J45^2-2*B11*J45)/(B13+T45))/(B13+T45-1))</f>
        <v>1978.5456639856636</v>
      </c>
      <c r="N45">
        <f>SQRT(((B10+S45-1)*L45^2+(B13+T45-1)*M45^2)/(B10+B13+S45+T45-2))</f>
        <v>1974.895308838044</v>
      </c>
      <c r="O45">
        <f>B10+B13+S45+T45-2</f>
        <v>293.10764928518768</v>
      </c>
      <c r="P45">
        <f>SQRT(N45^2*(1/(B10+S45)+1/(B13+T45)))</f>
        <v>229.92375339944462</v>
      </c>
      <c r="Q45">
        <f>((B8-B11)-_xlfn.T.INV(0.9,O45)*P45-B2)/(_xlfn.T.INV(0.9,O45)*P45+B2-H45)</f>
        <v>1.9510774717949049</v>
      </c>
      <c r="R45">
        <v>1.9510764928518771</v>
      </c>
      <c r="S45">
        <f>R45*B10</f>
        <v>97.553824642593852</v>
      </c>
      <c r="T45">
        <f>R45*B13</f>
        <v>97.553824642593852</v>
      </c>
      <c r="U45">
        <f t="shared" si="0"/>
        <v>9.7894302775181075E-7</v>
      </c>
    </row>
    <row r="46" spans="4:21" x14ac:dyDescent="0.3">
      <c r="D46">
        <v>21600</v>
      </c>
      <c r="E46">
        <v>16600</v>
      </c>
    </row>
    <row r="47" spans="4:21" x14ac:dyDescent="0.3">
      <c r="D47">
        <v>18600</v>
      </c>
      <c r="E47">
        <v>17600</v>
      </c>
    </row>
    <row r="48" spans="4:21" x14ac:dyDescent="0.3">
      <c r="D48">
        <v>16200</v>
      </c>
      <c r="E48">
        <v>16000</v>
      </c>
    </row>
    <row r="49" spans="4:5" x14ac:dyDescent="0.3">
      <c r="D49">
        <v>14300</v>
      </c>
      <c r="E49">
        <v>17100</v>
      </c>
    </row>
    <row r="50" spans="4:5" x14ac:dyDescent="0.3">
      <c r="D50">
        <v>12500</v>
      </c>
      <c r="E50">
        <v>14600</v>
      </c>
    </row>
    <row r="51" spans="4:5" x14ac:dyDescent="0.3">
      <c r="D51">
        <v>20000</v>
      </c>
      <c r="E51">
        <v>18000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Runz2S">
          <controlPr defaultSize="0" autoLine="0" r:id="rId4">
            <anchor moveWithCells="1">
              <from>
                <xdr:col>1</xdr:col>
                <xdr:colOff>76200</xdr:colOff>
                <xdr:row>32</xdr:row>
                <xdr:rowOff>68580</xdr:rowOff>
              </from>
              <to>
                <xdr:col>2</xdr:col>
                <xdr:colOff>426720</xdr:colOff>
                <xdr:row>34</xdr:row>
                <xdr:rowOff>0</xdr:rowOff>
              </to>
            </anchor>
          </controlPr>
        </control>
      </mc:Choice>
      <mc:Fallback>
        <control shapeId="2049" r:id="rId3" name="cmdRunz2S"/>
      </mc:Fallback>
    </mc:AlternateContent>
    <mc:AlternateContent xmlns:mc="http://schemas.openxmlformats.org/markup-compatibility/2006">
      <mc:Choice Requires="x14">
        <control shapeId="2050" r:id="rId5" name="cmdRunStudentt2S">
          <controlPr defaultSize="0" autoLine="0" r:id="rId6">
            <anchor moveWithCells="1">
              <from>
                <xdr:col>0</xdr:col>
                <xdr:colOff>60960</xdr:colOff>
                <xdr:row>32</xdr:row>
                <xdr:rowOff>68580</xdr:rowOff>
              </from>
              <to>
                <xdr:col>0</xdr:col>
                <xdr:colOff>1097280</xdr:colOff>
                <xdr:row>34</xdr:row>
                <xdr:rowOff>0</xdr:rowOff>
              </to>
            </anchor>
          </controlPr>
        </control>
      </mc:Choice>
      <mc:Fallback>
        <control shapeId="2050" r:id="rId5" name="cmdRunStudentt2S"/>
      </mc:Fallback>
    </mc:AlternateContent>
    <mc:AlternateContent xmlns:mc="http://schemas.openxmlformats.org/markup-compatibility/2006">
      <mc:Choice Requires="x14">
        <control shapeId="2051" r:id="rId7" name="cmdRunWelcht2S">
          <controlPr defaultSize="0" autoLine="0" r:id="rId8">
            <anchor moveWithCells="1">
              <from>
                <xdr:col>0</xdr:col>
                <xdr:colOff>68580</xdr:colOff>
                <xdr:row>34</xdr:row>
                <xdr:rowOff>106680</xdr:rowOff>
              </from>
              <to>
                <xdr:col>0</xdr:col>
                <xdr:colOff>1104900</xdr:colOff>
                <xdr:row>36</xdr:row>
                <xdr:rowOff>38100</xdr:rowOff>
              </to>
            </anchor>
          </controlPr>
        </control>
      </mc:Choice>
      <mc:Fallback>
        <control shapeId="2051" r:id="rId7" name="cmdRunWelcht2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16"/>
  <sheetViews>
    <sheetView workbookViewId="0">
      <selection activeCell="K10" sqref="K10"/>
    </sheetView>
  </sheetViews>
  <sheetFormatPr defaultRowHeight="14.4" x14ac:dyDescent="0.3"/>
  <cols>
    <col min="2" max="2" width="12" bestFit="1" customWidth="1"/>
    <col min="4" max="4" width="12.44140625" customWidth="1"/>
    <col min="5" max="5" width="13.109375" customWidth="1"/>
    <col min="10" max="10" width="11" customWidth="1"/>
  </cols>
  <sheetData>
    <row r="1" spans="1:16" x14ac:dyDescent="0.3">
      <c r="A1" s="1" t="s">
        <v>9</v>
      </c>
      <c r="D1" t="s">
        <v>88</v>
      </c>
      <c r="E1" t="s">
        <v>89</v>
      </c>
      <c r="G1" t="s">
        <v>73</v>
      </c>
      <c r="H1" t="s">
        <v>76</v>
      </c>
      <c r="I1" t="s">
        <v>74</v>
      </c>
      <c r="J1" t="s">
        <v>23</v>
      </c>
      <c r="K1" t="s">
        <v>79</v>
      </c>
      <c r="P1">
        <f>-Y1</f>
        <v>0</v>
      </c>
    </row>
    <row r="2" spans="1:16" x14ac:dyDescent="0.3">
      <c r="A2" s="1" t="s">
        <v>2</v>
      </c>
      <c r="B2" s="3">
        <v>5.0000000000000001E-3</v>
      </c>
      <c r="D2">
        <v>28</v>
      </c>
      <c r="E2">
        <v>11</v>
      </c>
      <c r="G2">
        <v>-0.99</v>
      </c>
      <c r="H2">
        <f t="shared" ref="H2:H33" si="0">0.5*LN((1+G2)/(1-G2))</f>
        <v>-2.6466524123622457</v>
      </c>
      <c r="I2">
        <f>(B18*(B6-3)+((J2-3)*H2))/(B6+J2-6)</f>
        <v>0.12432294585898297</v>
      </c>
      <c r="J2">
        <v>20.270988906740413</v>
      </c>
      <c r="K2">
        <f>I2*SQRT(B6+J2-6)</f>
        <v>2.5758291976208838</v>
      </c>
    </row>
    <row r="3" spans="1:16" x14ac:dyDescent="0.3">
      <c r="A3" s="1" t="s">
        <v>10</v>
      </c>
      <c r="B3" s="3" t="b">
        <v>1</v>
      </c>
      <c r="D3">
        <v>27</v>
      </c>
      <c r="E3">
        <v>12</v>
      </c>
      <c r="G3">
        <v>-0.98</v>
      </c>
      <c r="H3">
        <f t="shared" si="0"/>
        <v>-2.2975599250672945</v>
      </c>
      <c r="I3">
        <f>(B18*(B6-3)+((J3-3)*H3))/(B6+J3-6)</f>
        <v>0.12395459163150986</v>
      </c>
      <c r="J3">
        <v>22.826123809432584</v>
      </c>
      <c r="K3">
        <f>I3*SQRT(B6+J3-6)</f>
        <v>2.575829275628692</v>
      </c>
    </row>
    <row r="4" spans="1:16" x14ac:dyDescent="0.3">
      <c r="A4" s="1" t="s">
        <v>5</v>
      </c>
      <c r="B4" s="6">
        <f>IF(B3=TRUE,_xlfn.NORM.S.INV(1-B2),_xlfn.NORM.S.INV(B2))</f>
        <v>2.5758293035488999</v>
      </c>
      <c r="D4">
        <v>11</v>
      </c>
      <c r="E4">
        <v>18</v>
      </c>
      <c r="G4">
        <v>-0.97</v>
      </c>
      <c r="H4">
        <f t="shared" si="0"/>
        <v>-2.0922957200349388</v>
      </c>
      <c r="I4">
        <f>(B18*(B6-3)+((J4-3)*H4))/(B6+J4-6)</f>
        <v>0.1236843400185588</v>
      </c>
      <c r="J4">
        <v>24.715263213055685</v>
      </c>
      <c r="K4">
        <f>I4*SQRT(B6+J4-6)</f>
        <v>2.5758292408859926</v>
      </c>
    </row>
    <row r="5" spans="1:16" x14ac:dyDescent="0.3">
      <c r="D5">
        <v>27</v>
      </c>
      <c r="E5">
        <v>24</v>
      </c>
      <c r="G5">
        <v>-0.96</v>
      </c>
      <c r="H5">
        <f t="shared" si="0"/>
        <v>-1.9459101490553128</v>
      </c>
      <c r="I5">
        <f>(B18*(B6-3)+((J5-3)*H5))/(B6+J5-6)</f>
        <v>0.12345920391558782</v>
      </c>
      <c r="J5">
        <v>26.298569819907183</v>
      </c>
      <c r="K5">
        <f>I5*SQRT(B6+J5-6)</f>
        <v>2.5758293794705991</v>
      </c>
    </row>
    <row r="6" spans="1:16" x14ac:dyDescent="0.3">
      <c r="A6" s="1" t="s">
        <v>3</v>
      </c>
      <c r="B6" s="6">
        <f>COUNT(D2:D100000)</f>
        <v>415</v>
      </c>
      <c r="D6">
        <v>22</v>
      </c>
      <c r="E6">
        <v>16</v>
      </c>
      <c r="G6">
        <v>-0.95</v>
      </c>
      <c r="H6">
        <f t="shared" si="0"/>
        <v>-1.8317808230648227</v>
      </c>
      <c r="I6">
        <f>(B18*(B6-3)+((J6-3)*H6))/(B6+J6-6)</f>
        <v>0.12326053973618345</v>
      </c>
      <c r="J6">
        <v>27.702902411277016</v>
      </c>
      <c r="K6">
        <f>I6*SQRT(B6+J6-6)</f>
        <v>2.5758294499636722</v>
      </c>
    </row>
    <row r="7" spans="1:16" x14ac:dyDescent="0.3">
      <c r="A7" s="1" t="s">
        <v>51</v>
      </c>
      <c r="B7" s="6">
        <f>SUM(D2:D100000)</f>
        <v>10005</v>
      </c>
      <c r="D7">
        <v>28</v>
      </c>
      <c r="E7">
        <v>20</v>
      </c>
      <c r="G7">
        <v>-0.94</v>
      </c>
      <c r="H7">
        <f t="shared" si="0"/>
        <v>-1.7380493449176362</v>
      </c>
      <c r="I7">
        <f>(B18*(B6-3)+((J7-3)*H7))/(B6+J7-6)</f>
        <v>0.12307936128025786</v>
      </c>
      <c r="J7">
        <v>28.989519885456783</v>
      </c>
      <c r="K7">
        <f>I7*SQRT(B6+J7-6)</f>
        <v>2.5758293847849352</v>
      </c>
    </row>
    <row r="8" spans="1:16" x14ac:dyDescent="0.3">
      <c r="A8" s="1" t="s">
        <v>56</v>
      </c>
      <c r="B8" s="6">
        <f>B7/B6</f>
        <v>24.108433734939759</v>
      </c>
      <c r="D8">
        <v>23</v>
      </c>
      <c r="E8">
        <v>16</v>
      </c>
      <c r="G8">
        <v>-0.93</v>
      </c>
      <c r="H8">
        <f t="shared" si="0"/>
        <v>-1.6583900199247865</v>
      </c>
      <c r="I8">
        <f>(B18*(B6-3)+((J8-3)*H8))/(B6+J8-6)</f>
        <v>0.12291057704289261</v>
      </c>
      <c r="J8">
        <v>30.193265812282224</v>
      </c>
      <c r="K8">
        <f>I8*SQRT(B6+J8-6)</f>
        <v>2.5758293880160901</v>
      </c>
    </row>
    <row r="9" spans="1:16" x14ac:dyDescent="0.3">
      <c r="A9" s="1" t="s">
        <v>52</v>
      </c>
      <c r="B9" s="6">
        <f>SUMSQ(D2:D100000)</f>
        <v>249665</v>
      </c>
      <c r="D9">
        <v>15</v>
      </c>
      <c r="E9">
        <v>26</v>
      </c>
      <c r="G9">
        <v>-0.92</v>
      </c>
      <c r="H9">
        <f t="shared" si="0"/>
        <v>-1.5890269151739731</v>
      </c>
      <c r="I9">
        <f>(B18*(B6-3)+((J9-3)*H9))/(B6+J9-6)</f>
        <v>0.12275097071643892</v>
      </c>
      <c r="J9">
        <v>31.336116987623782</v>
      </c>
      <c r="K9">
        <f>I9*SQRT(B6+J9-6)</f>
        <v>2.5758293617829824</v>
      </c>
    </row>
    <row r="10" spans="1:16" x14ac:dyDescent="0.3">
      <c r="A10" s="1" t="s">
        <v>53</v>
      </c>
      <c r="B10" s="6">
        <f>SUM(E2:E100000)</f>
        <v>7774</v>
      </c>
      <c r="D10">
        <v>28</v>
      </c>
      <c r="E10">
        <v>12</v>
      </c>
      <c r="G10">
        <v>-0.91</v>
      </c>
      <c r="H10">
        <f t="shared" si="0"/>
        <v>-1.5275244253552054</v>
      </c>
      <c r="I10">
        <f>(B18*(B6-3)+((J10-3)*H10))/(B6+J10-6)</f>
        <v>0.12259837571484591</v>
      </c>
      <c r="J10">
        <v>32.432965559035701</v>
      </c>
      <c r="K10">
        <f>I10*SQRT(B6+J10-6)</f>
        <v>2.5758294103026516</v>
      </c>
    </row>
    <row r="11" spans="1:16" x14ac:dyDescent="0.3">
      <c r="A11" s="1" t="s">
        <v>57</v>
      </c>
      <c r="B11" s="6">
        <f>B10/B6</f>
        <v>18.732530120481929</v>
      </c>
      <c r="D11">
        <v>25</v>
      </c>
      <c r="E11">
        <v>20</v>
      </c>
      <c r="G11">
        <v>-0.9</v>
      </c>
      <c r="H11">
        <f t="shared" si="0"/>
        <v>-1.4722194895832204</v>
      </c>
      <c r="I11">
        <f>(B18*(B6-3)+((J11-3)*H11))/(B6+J11-6)</f>
        <v>0.12245122971785098</v>
      </c>
      <c r="J11">
        <v>33.494465806802872</v>
      </c>
      <c r="K11">
        <f>I11*SQRT(B6+J11-6)</f>
        <v>2.5758292621828311</v>
      </c>
    </row>
    <row r="12" spans="1:16" x14ac:dyDescent="0.3">
      <c r="A12" s="1" t="s">
        <v>54</v>
      </c>
      <c r="B12" s="6">
        <f>SUMSQ(E2:E100000)</f>
        <v>157704</v>
      </c>
      <c r="D12">
        <v>28</v>
      </c>
      <c r="E12">
        <v>10</v>
      </c>
      <c r="G12">
        <v>-0.89</v>
      </c>
      <c r="H12">
        <f t="shared" si="0"/>
        <v>-1.421925871130636</v>
      </c>
      <c r="I12">
        <f>(B18*(B6-3)+((J12-3)*H12))/(B6+J12-6)</f>
        <v>0.12230840360981733</v>
      </c>
      <c r="J12">
        <v>34.528555527968223</v>
      </c>
      <c r="K12">
        <f>I12*SQRT(B6+J12-6)</f>
        <v>2.5758293698855699</v>
      </c>
    </row>
    <row r="13" spans="1:16" x14ac:dyDescent="0.3">
      <c r="A13" s="1" t="s">
        <v>55</v>
      </c>
      <c r="B13" s="6">
        <f>SUMPRODUCT(D2:D100000,E2:E100000)</f>
        <v>189804</v>
      </c>
      <c r="D13">
        <v>28</v>
      </c>
      <c r="E13">
        <v>27</v>
      </c>
      <c r="G13">
        <v>-0.88</v>
      </c>
      <c r="H13">
        <f t="shared" si="0"/>
        <v>-1.3757676565209744</v>
      </c>
      <c r="I13">
        <f>(B18*(B6-3)+((J13-3)*H13))/(B6+J13-6)</f>
        <v>0.12216899280351995</v>
      </c>
      <c r="J13">
        <v>35.541371728585801</v>
      </c>
      <c r="K13">
        <f>I13*SQRT(B6+J13-6)</f>
        <v>2.5758293421127929</v>
      </c>
    </row>
    <row r="14" spans="1:16" x14ac:dyDescent="0.3">
      <c r="A14" s="1" t="s">
        <v>48</v>
      </c>
      <c r="B14" s="6">
        <f>B9-B7^2/B6</f>
        <v>8460.1204819277045</v>
      </c>
      <c r="D14">
        <v>18</v>
      </c>
      <c r="E14">
        <v>17</v>
      </c>
      <c r="G14">
        <v>-0.87</v>
      </c>
      <c r="H14">
        <f t="shared" si="0"/>
        <v>-1.333079629696525</v>
      </c>
      <c r="I14">
        <f>(B18*(B6-3)+((J14-3)*H14))/(B6+J14-6)</f>
        <v>0.12203230353748248</v>
      </c>
      <c r="J14">
        <v>36.537783722717904</v>
      </c>
      <c r="K14">
        <f>I14*SQRT(B6+J14-6)</f>
        <v>2.5758293023414764</v>
      </c>
    </row>
    <row r="15" spans="1:16" x14ac:dyDescent="0.3">
      <c r="A15" s="1" t="s">
        <v>49</v>
      </c>
      <c r="B15" s="6">
        <f>B12-B10^2/B6</f>
        <v>12077.310843373503</v>
      </c>
      <c r="D15">
        <v>28</v>
      </c>
      <c r="E15">
        <v>19</v>
      </c>
      <c r="G15">
        <v>-0.86</v>
      </c>
      <c r="H15">
        <f t="shared" si="0"/>
        <v>-1.2933446720489712</v>
      </c>
      <c r="I15">
        <f>(B18*(B6-3)+((J15-3)*H15))/(B6+J15-6)</f>
        <v>0.1218977700401485</v>
      </c>
      <c r="J15">
        <v>37.521758009129229</v>
      </c>
      <c r="K15">
        <f>I15*SQRT(B6+J15-6)</f>
        <v>2.5758292693520755</v>
      </c>
    </row>
    <row r="16" spans="1:16" x14ac:dyDescent="0.3">
      <c r="A16" s="1" t="s">
        <v>50</v>
      </c>
      <c r="B16" s="6">
        <f>B13-B7*B10/B6</f>
        <v>2385.0361445783055</v>
      </c>
      <c r="D16">
        <v>15</v>
      </c>
      <c r="E16">
        <v>22</v>
      </c>
      <c r="G16">
        <v>-0.85</v>
      </c>
      <c r="H16">
        <f t="shared" si="0"/>
        <v>-1.2561528119880574</v>
      </c>
      <c r="I16">
        <f>(B18*(B6-3)+((J16-3)*H16))/(B6+J16-6)</f>
        <v>0.12176492959668163</v>
      </c>
      <c r="J16">
        <v>38.496594532925599</v>
      </c>
      <c r="K16">
        <f>I16*SQRT(B6+J16-6)</f>
        <v>2.5758293613566159</v>
      </c>
    </row>
    <row r="17" spans="1:11" x14ac:dyDescent="0.3">
      <c r="A17" s="1" t="s">
        <v>58</v>
      </c>
      <c r="B17" s="6">
        <f>B16/SQRT(B14*B15)</f>
        <v>0.23595086236209351</v>
      </c>
      <c r="D17">
        <v>27</v>
      </c>
      <c r="E17">
        <v>24</v>
      </c>
      <c r="G17">
        <v>-0.84</v>
      </c>
      <c r="H17">
        <f t="shared" si="0"/>
        <v>-1.2211735176846021</v>
      </c>
      <c r="I17">
        <f>(B18*(B6-3)+((J17-3)*H17))/(B6+J17-6)</f>
        <v>0.12163336999483336</v>
      </c>
      <c r="J17">
        <v>39.465101853431165</v>
      </c>
      <c r="K17">
        <f>I17*SQRT(B6+J17-6)</f>
        <v>2.5758292240548046</v>
      </c>
    </row>
    <row r="18" spans="1:11" x14ac:dyDescent="0.3">
      <c r="A18" s="1" t="s">
        <v>75</v>
      </c>
      <c r="B18" s="6">
        <f>0.5*LN((1+B17)/(1-B17))</f>
        <v>0.2404818892392982</v>
      </c>
      <c r="D18">
        <v>17</v>
      </c>
      <c r="E18">
        <v>24</v>
      </c>
      <c r="G18">
        <v>-0.83</v>
      </c>
      <c r="H18">
        <f t="shared" si="0"/>
        <v>-1.1881364043926024</v>
      </c>
      <c r="I18">
        <f>(B18*(B6-3)+((J18-3)*H18))/(B6+J18-6)</f>
        <v>0.12150277791911115</v>
      </c>
      <c r="J18">
        <v>40.429694014950236</v>
      </c>
      <c r="K18">
        <f>I18*SQRT(B6+J18-6)</f>
        <v>2.5758293585598899</v>
      </c>
    </row>
    <row r="19" spans="1:11" x14ac:dyDescent="0.3">
      <c r="A19" s="1" t="s">
        <v>77</v>
      </c>
      <c r="B19" s="6">
        <f>B18/SQRT(1/(B6-3))</f>
        <v>4.8812492345163099</v>
      </c>
      <c r="D19">
        <v>28</v>
      </c>
      <c r="E19">
        <v>27</v>
      </c>
      <c r="G19">
        <v>-0.82</v>
      </c>
      <c r="H19">
        <f t="shared" si="0"/>
        <v>-1.1568174645903151</v>
      </c>
      <c r="I19">
        <f>(B18*(B6-3)+((J19-3)*H19))/(B6+J19-6)</f>
        <v>0.12137284038031103</v>
      </c>
      <c r="J19">
        <v>41.39250535625871</v>
      </c>
      <c r="K19">
        <f>I19*SQRT(B6+J19-6)</f>
        <v>2.575829383344896</v>
      </c>
    </row>
    <row r="20" spans="1:11" x14ac:dyDescent="0.3">
      <c r="A20" s="1" t="s">
        <v>13</v>
      </c>
      <c r="B20" s="6" t="b">
        <f>IF(B3=TRUE,IF(B19&gt;B4,TRUE,FALSE),IF(B19&lt;B4,TRUE,FALSE))</f>
        <v>1</v>
      </c>
      <c r="D20">
        <v>22</v>
      </c>
      <c r="E20">
        <v>20</v>
      </c>
      <c r="G20">
        <v>-0.81</v>
      </c>
      <c r="H20">
        <f t="shared" si="0"/>
        <v>-1.1270290260496929</v>
      </c>
      <c r="I20">
        <f>(B18*(B6-3)+((J20-3)*H20))/(B6+J20-6)</f>
        <v>0.12124329608936432</v>
      </c>
      <c r="J20">
        <v>42.355435113380736</v>
      </c>
      <c r="K20">
        <f>I20*SQRT(B6+J20-6)</f>
        <v>2.5758292628864883</v>
      </c>
    </row>
    <row r="21" spans="1:11" x14ac:dyDescent="0.3">
      <c r="D21">
        <v>26</v>
      </c>
      <c r="E21">
        <v>24</v>
      </c>
      <c r="G21">
        <v>-0.8</v>
      </c>
      <c r="H21">
        <f t="shared" si="0"/>
        <v>-1.0986122886681098</v>
      </c>
      <c r="I21">
        <f>(B18*(B6-3)+((J21-3)*H21))/(B6+J21-6)</f>
        <v>0.12111392950330964</v>
      </c>
      <c r="J21">
        <v>43.3201953672489</v>
      </c>
      <c r="K21">
        <f>I21*SQRT(B6+J21-6)</f>
        <v>2.5758293313677365</v>
      </c>
    </row>
    <row r="22" spans="1:11" x14ac:dyDescent="0.3">
      <c r="A22" s="1" t="s">
        <v>83</v>
      </c>
      <c r="B22" s="3">
        <v>-0.99</v>
      </c>
      <c r="D22">
        <v>28</v>
      </c>
      <c r="E22">
        <v>9</v>
      </c>
      <c r="G22">
        <v>-0.79</v>
      </c>
      <c r="H22">
        <f t="shared" si="0"/>
        <v>-1.0714316840586662</v>
      </c>
      <c r="I22">
        <f>(B18*(B6-3)+((J22-3)*H22))/(B6+J22-6)</f>
        <v>0.12098450892987021</v>
      </c>
      <c r="J22">
        <v>44.288369762987315</v>
      </c>
      <c r="K22">
        <f>I22*SQRT(B6+J22-6)</f>
        <v>2.5758291529857194</v>
      </c>
    </row>
    <row r="23" spans="1:11" x14ac:dyDescent="0.3">
      <c r="A23" s="1" t="s">
        <v>84</v>
      </c>
      <c r="B23" s="3">
        <v>0</v>
      </c>
      <c r="D23">
        <v>22</v>
      </c>
      <c r="E23">
        <v>22</v>
      </c>
      <c r="G23">
        <v>-0.78</v>
      </c>
      <c r="H23">
        <f t="shared" si="0"/>
        <v>-1.0453705484668847</v>
      </c>
      <c r="I23">
        <f>(B18*(B6-3)+((J23-3)*H23))/(B6+J23-6)</f>
        <v>0.12085486218753191</v>
      </c>
      <c r="J23">
        <v>45.261414212944594</v>
      </c>
      <c r="K23">
        <f>I23*SQRT(B6+J23-6)</f>
        <v>2.5758291386615921</v>
      </c>
    </row>
    <row r="24" spans="1:11" x14ac:dyDescent="0.3">
      <c r="A24" s="1" t="s">
        <v>12</v>
      </c>
      <c r="B24" s="3">
        <v>0.01</v>
      </c>
      <c r="D24">
        <v>23</v>
      </c>
      <c r="E24">
        <v>23</v>
      </c>
      <c r="G24">
        <v>-0.77</v>
      </c>
      <c r="H24">
        <f t="shared" si="0"/>
        <v>-1.0203277583223398</v>
      </c>
      <c r="I24">
        <f>(B18*(B6-3)+((J24-3)*H24))/(B6+J24-6)</f>
        <v>0.12072480445953043</v>
      </c>
      <c r="J24">
        <v>46.240706465769023</v>
      </c>
      <c r="K24">
        <f>I24*SQRT(B6+J24-6)</f>
        <v>2.5758291574858427</v>
      </c>
    </row>
    <row r="25" spans="1:11" x14ac:dyDescent="0.3">
      <c r="A25" s="1" t="s">
        <v>24</v>
      </c>
      <c r="B25" s="5">
        <v>1E-8</v>
      </c>
      <c r="D25">
        <v>7</v>
      </c>
      <c r="E25">
        <v>15</v>
      </c>
      <c r="G25">
        <v>-0.76</v>
      </c>
      <c r="H25">
        <f t="shared" si="0"/>
        <v>-0.99621508234510314</v>
      </c>
      <c r="I25">
        <f>(B18*(B6-3)+((J25-3)*H25))/(B6+J25-6)</f>
        <v>0.12059417716131819</v>
      </c>
      <c r="J25">
        <v>47.227550009710292</v>
      </c>
      <c r="K25">
        <f>I25*SQRT(B6+J25-6)</f>
        <v>2.5758293785533044</v>
      </c>
    </row>
    <row r="26" spans="1:11" x14ac:dyDescent="0.3">
      <c r="A26" s="1" t="s">
        <v>16</v>
      </c>
      <c r="B26" s="3">
        <v>7</v>
      </c>
      <c r="D26">
        <v>28</v>
      </c>
      <c r="E26">
        <v>27</v>
      </c>
      <c r="G26">
        <v>-0.75</v>
      </c>
      <c r="H26">
        <f t="shared" si="0"/>
        <v>-0.97295507452765673</v>
      </c>
      <c r="I26">
        <f>(B18*(B6-3)+((J26-3)*H26))/(B6+J26-6)</f>
        <v>0.12046279627581172</v>
      </c>
      <c r="J26">
        <v>48.223210285214208</v>
      </c>
      <c r="K26">
        <f>I26*SQRT(B6+J26-6)</f>
        <v>2.5758292730882286</v>
      </c>
    </row>
    <row r="27" spans="1:11" x14ac:dyDescent="0.3">
      <c r="D27">
        <v>28</v>
      </c>
      <c r="E27">
        <v>22</v>
      </c>
      <c r="G27">
        <v>-0.74</v>
      </c>
      <c r="H27">
        <f t="shared" si="0"/>
        <v>-0.95047938059652348</v>
      </c>
      <c r="I27">
        <f>(B18*(B6-3)+((J27-3)*H27))/(B6+J27-6)</f>
        <v>0.12033054135076132</v>
      </c>
      <c r="J27">
        <v>49.228891155637015</v>
      </c>
      <c r="K27">
        <f>I27*SQRT(B6+J27-6)</f>
        <v>2.5758294510345023</v>
      </c>
    </row>
    <row r="28" spans="1:11" x14ac:dyDescent="0.3">
      <c r="D28">
        <v>19</v>
      </c>
      <c r="E28">
        <v>15</v>
      </c>
      <c r="G28">
        <v>-0.73</v>
      </c>
      <c r="H28">
        <f t="shared" si="0"/>
        <v>-0.92872736424672497</v>
      </c>
      <c r="I28">
        <f>(B18*(B6-3)+((J28-3)*H28))/(B6+J28-6)</f>
        <v>0.12019723775365815</v>
      </c>
      <c r="J28">
        <v>50.245794709718908</v>
      </c>
      <c r="K28">
        <f>I28*SQRT(B6+J28-6)</f>
        <v>2.575829314197255</v>
      </c>
    </row>
    <row r="29" spans="1:11" x14ac:dyDescent="0.3">
      <c r="D29">
        <v>21</v>
      </c>
      <c r="E29">
        <v>19</v>
      </c>
      <c r="G29">
        <v>-0.72</v>
      </c>
      <c r="H29">
        <f t="shared" si="0"/>
        <v>-0.90764498331912458</v>
      </c>
      <c r="I29">
        <f>(B18*(B6-3)+((J29-3)*H29))/(B6+J29-6)</f>
        <v>0.12006276985922741</v>
      </c>
      <c r="J29">
        <v>51.27508309746031</v>
      </c>
      <c r="K29">
        <f>I29*SQRT(B6+J29-6)</f>
        <v>2.5758293706365598</v>
      </c>
    </row>
    <row r="30" spans="1:11" x14ac:dyDescent="0.3">
      <c r="D30">
        <v>26</v>
      </c>
      <c r="E30">
        <v>25</v>
      </c>
      <c r="G30">
        <v>-0.71</v>
      </c>
      <c r="H30">
        <f t="shared" si="0"/>
        <v>-0.88718386325809284</v>
      </c>
      <c r="I30">
        <f>(B18*(B6-3)+((J30-3)*H30))/(B6+J30-6)</f>
        <v>0.11992697736901074</v>
      </c>
      <c r="J30">
        <v>52.317931737911778</v>
      </c>
      <c r="K30">
        <f>I30*SQRT(B6+J30-6)</f>
        <v>2.5758291638092286</v>
      </c>
    </row>
    <row r="31" spans="1:11" x14ac:dyDescent="0.3">
      <c r="D31">
        <v>28</v>
      </c>
      <c r="E31">
        <v>26</v>
      </c>
      <c r="G31">
        <v>-0.7</v>
      </c>
      <c r="H31">
        <f t="shared" si="0"/>
        <v>-0.86730052769405308</v>
      </c>
      <c r="I31">
        <f>(B18*(B6-3)+((J31-3)*H31))/(B6+J31-6)</f>
        <v>0.11978975809053677</v>
      </c>
      <c r="J31">
        <v>53.37549122851069</v>
      </c>
      <c r="K31">
        <f>I31*SQRT(B6+J31-6)</f>
        <v>2.5758293697322938</v>
      </c>
    </row>
    <row r="32" spans="1:11" x14ac:dyDescent="0.3">
      <c r="D32">
        <v>28</v>
      </c>
      <c r="E32">
        <v>24</v>
      </c>
      <c r="G32">
        <v>-0.69</v>
      </c>
      <c r="H32">
        <f t="shared" si="0"/>
        <v>-0.84795575521896349</v>
      </c>
      <c r="I32">
        <f>(B18*(B6-3)+((J32-3)*H32))/(B6+J32-6)</f>
        <v>0.11965094723637751</v>
      </c>
      <c r="J32">
        <v>54.448949225835882</v>
      </c>
      <c r="K32">
        <f>I32*SQRT(B6+J32-6)</f>
        <v>2.5758293774435264</v>
      </c>
    </row>
    <row r="33" spans="4:11" x14ac:dyDescent="0.3">
      <c r="D33">
        <v>27</v>
      </c>
      <c r="E33">
        <v>24</v>
      </c>
      <c r="G33">
        <v>-0.68</v>
      </c>
      <c r="H33">
        <f t="shared" si="0"/>
        <v>-0.82911403830176633</v>
      </c>
      <c r="I33">
        <f>(B18*(B6-3)+((J33-3)*H33))/(B6+J33-6)</f>
        <v>0.11951041480723246</v>
      </c>
      <c r="J33">
        <v>55.539492633429248</v>
      </c>
      <c r="K33">
        <f>I33*SQRT(B6+J33-6)</f>
        <v>2.5758292729529382</v>
      </c>
    </row>
    <row r="34" spans="4:11" x14ac:dyDescent="0.3">
      <c r="D34">
        <v>24</v>
      </c>
      <c r="E34">
        <v>23</v>
      </c>
      <c r="G34">
        <v>-0.67</v>
      </c>
      <c r="H34">
        <f t="shared" ref="H34:H65" si="1">0.5*LN((1+G34)/(1-G34))</f>
        <v>-0.81074312547513749</v>
      </c>
      <c r="I34">
        <f>(B18*(B6-3)+((J34-3)*H34))/(B6+J34-6)</f>
        <v>0.11936804223980363</v>
      </c>
      <c r="J34">
        <v>56.648323658322852</v>
      </c>
      <c r="K34">
        <f>I34*SQRT(B6+J34-6)</f>
        <v>2.575829382885682</v>
      </c>
    </row>
    <row r="35" spans="4:11" x14ac:dyDescent="0.3">
      <c r="D35">
        <v>22</v>
      </c>
      <c r="E35">
        <v>17</v>
      </c>
      <c r="G35">
        <v>-0.66</v>
      </c>
      <c r="H35">
        <f t="shared" si="1"/>
        <v>-0.79281363187019105</v>
      </c>
      <c r="I35">
        <f>(B18*(B6-3)+((J35-3)*H35))/(B6+J35-6)</f>
        <v>0.11922366964269489</v>
      </c>
      <c r="J35">
        <v>57.776692127536542</v>
      </c>
      <c r="K35">
        <f>I35*SQRT(B6+J35-6)</f>
        <v>2.5758292233470304</v>
      </c>
    </row>
    <row r="36" spans="4:11" x14ac:dyDescent="0.3">
      <c r="D36">
        <v>22</v>
      </c>
      <c r="E36">
        <v>20</v>
      </c>
      <c r="G36">
        <v>-0.65</v>
      </c>
      <c r="H36">
        <f t="shared" si="1"/>
        <v>-0.7752987062055835</v>
      </c>
      <c r="I36">
        <f>(B18*(B6-3)+((J36-3)*H36))/(B6+J36-6)</f>
        <v>0.11907718388129671</v>
      </c>
      <c r="J36">
        <v>58.925857530258071</v>
      </c>
      <c r="K36">
        <f>I36*SQRT(B6+J36-6)</f>
        <v>2.5758292923909978</v>
      </c>
    </row>
    <row r="37" spans="4:11" x14ac:dyDescent="0.3">
      <c r="D37">
        <v>28</v>
      </c>
      <c r="E37">
        <v>19</v>
      </c>
      <c r="G37">
        <v>-0.64</v>
      </c>
      <c r="H37">
        <f t="shared" si="1"/>
        <v>-0.7581737446840443</v>
      </c>
      <c r="I37">
        <f>(B18*(B6-3)+((J37-3)*H37))/(B6+J37-6)</f>
        <v>0.11892843363877298</v>
      </c>
      <c r="J37">
        <v>60.097137534396197</v>
      </c>
      <c r="K37">
        <f>I37*SQRT(B6+J37-6)</f>
        <v>2.5758293678587423</v>
      </c>
    </row>
    <row r="38" spans="4:11" x14ac:dyDescent="0.3">
      <c r="D38">
        <v>21</v>
      </c>
      <c r="E38">
        <v>22</v>
      </c>
      <c r="G38">
        <v>-0.63</v>
      </c>
      <c r="H38">
        <f t="shared" si="1"/>
        <v>-0.74141614408126888</v>
      </c>
      <c r="I38">
        <f>(B18*(B6-3)+((J38-3)*H38))/(B6+J38-6)</f>
        <v>0.11877726954928934</v>
      </c>
      <c r="J38">
        <v>61.291894029566606</v>
      </c>
      <c r="K38">
        <f>I38*SQRT(B6+J38-6)</f>
        <v>2.5758293306273279</v>
      </c>
    </row>
    <row r="39" spans="4:11" x14ac:dyDescent="0.3">
      <c r="D39">
        <v>5</v>
      </c>
      <c r="E39">
        <v>19</v>
      </c>
      <c r="G39">
        <v>-0.62</v>
      </c>
      <c r="H39">
        <f t="shared" si="1"/>
        <v>-0.72500508775299921</v>
      </c>
      <c r="I39">
        <f>(B18*(B6-3)+((J39-3)*H39))/(B6+J39-6)</f>
        <v>0.11862355137461797</v>
      </c>
      <c r="J39">
        <v>62.51153490019626</v>
      </c>
      <c r="K39">
        <f>I39*SQRT(B6+J39-6)</f>
        <v>2.5758293220712765</v>
      </c>
    </row>
    <row r="40" spans="4:11" x14ac:dyDescent="0.3">
      <c r="D40">
        <v>26</v>
      </c>
      <c r="E40">
        <v>17</v>
      </c>
      <c r="G40">
        <v>-0.61</v>
      </c>
      <c r="H40">
        <f t="shared" si="1"/>
        <v>-0.7089213594274083</v>
      </c>
      <c r="I40">
        <f>(B18*(B6-3)+((J40-3)*H40))/(B6+J40-6)</f>
        <v>0.11846712599255058</v>
      </c>
      <c r="J40">
        <v>63.757532094665727</v>
      </c>
      <c r="K40">
        <f>I40*SQRT(B6+J40-6)</f>
        <v>2.5758293122716438</v>
      </c>
    </row>
    <row r="41" spans="4:11" x14ac:dyDescent="0.3">
      <c r="D41">
        <v>28</v>
      </c>
      <c r="E41">
        <v>22</v>
      </c>
      <c r="G41">
        <v>-0.6</v>
      </c>
      <c r="H41">
        <f t="shared" si="1"/>
        <v>-0.69314718055994529</v>
      </c>
      <c r="I41">
        <f>(B18*(B6-3)+((J41-3)*H41))/(B6+J41-6)</f>
        <v>0.11830783528824552</v>
      </c>
      <c r="J41">
        <v>65.03142410207326</v>
      </c>
      <c r="K41">
        <f>I41*SQRT(B6+J41-6)</f>
        <v>2.5758292721468692</v>
      </c>
    </row>
    <row r="42" spans="4:11" x14ac:dyDescent="0.3">
      <c r="D42">
        <v>28</v>
      </c>
      <c r="E42">
        <v>26</v>
      </c>
      <c r="G42">
        <v>-0.59</v>
      </c>
      <c r="H42">
        <f t="shared" si="1"/>
        <v>-0.67766606775796179</v>
      </c>
      <c r="I42">
        <f>(B18*(B6-3)+((J42-3)*H42))/(B6+J42-6)</f>
        <v>0.11814552329673043</v>
      </c>
      <c r="J42">
        <v>66.33481861144945</v>
      </c>
      <c r="K42">
        <f>I42*SQRT(B6+J42-6)</f>
        <v>2.5758293307071582</v>
      </c>
    </row>
    <row r="43" spans="4:11" x14ac:dyDescent="0.3">
      <c r="D43">
        <v>24</v>
      </c>
      <c r="E43">
        <v>4</v>
      </c>
      <c r="G43">
        <v>-0.57999999999999996</v>
      </c>
      <c r="H43">
        <f t="shared" si="1"/>
        <v>-0.66246270737179924</v>
      </c>
      <c r="I43">
        <f>(B18*(B6-3)+((J43-3)*H43))/(B6+J43-6)</f>
        <v>0.11798001580485221</v>
      </c>
      <c r="J43">
        <v>67.669411804571098</v>
      </c>
      <c r="K43">
        <f>I43*SQRT(B6+J43-6)</f>
        <v>2.5758293768532909</v>
      </c>
    </row>
    <row r="44" spans="4:11" x14ac:dyDescent="0.3">
      <c r="D44">
        <v>28</v>
      </c>
      <c r="E44">
        <v>25</v>
      </c>
      <c r="G44">
        <v>-0.56999999999999995</v>
      </c>
      <c r="H44">
        <f t="shared" si="1"/>
        <v>-0.64752284482737277</v>
      </c>
      <c r="I44">
        <f>(B18*(B6-3)+((J44-3)*H44))/(B6+J44-6)</f>
        <v>0.11781112855679958</v>
      </c>
      <c r="J44">
        <v>69.036991900031396</v>
      </c>
      <c r="K44">
        <f>I44*SQRT(B6+J44-6)</f>
        <v>2.5758292391624917</v>
      </c>
    </row>
    <row r="45" spans="4:11" x14ac:dyDescent="0.3">
      <c r="D45">
        <v>27</v>
      </c>
      <c r="E45">
        <v>27</v>
      </c>
      <c r="G45">
        <v>-0.56000000000000005</v>
      </c>
      <c r="H45">
        <f t="shared" si="1"/>
        <v>-0.63283318666563804</v>
      </c>
      <c r="I45">
        <f>(B18*(B6-3)+((J45-3)*H45))/(B6+J45-6)</f>
        <v>0.11763870092418495</v>
      </c>
      <c r="J45">
        <v>70.439426343293974</v>
      </c>
      <c r="K45">
        <f>I45*SQRT(B6+J45-6)</f>
        <v>2.5758293801978298</v>
      </c>
    </row>
    <row r="46" spans="4:11" x14ac:dyDescent="0.3">
      <c r="D46">
        <v>28</v>
      </c>
      <c r="E46">
        <v>20</v>
      </c>
      <c r="G46">
        <v>-0.55000000000000004</v>
      </c>
      <c r="H46">
        <f t="shared" si="1"/>
        <v>-0.61838131357446346</v>
      </c>
      <c r="I46">
        <f>(B18*(B6-3)+((J46-3)*H46))/(B6+J46-6)</f>
        <v>0.11746251132901721</v>
      </c>
      <c r="J46">
        <v>71.878723967934235</v>
      </c>
      <c r="K46">
        <f>I46*SQRT(B6+J46-6)</f>
        <v>2.5758292053447729</v>
      </c>
    </row>
    <row r="47" spans="4:11" x14ac:dyDescent="0.3">
      <c r="D47">
        <v>16</v>
      </c>
      <c r="E47">
        <v>12</v>
      </c>
      <c r="G47">
        <v>-0.54</v>
      </c>
      <c r="H47">
        <f t="shared" si="1"/>
        <v>-0.60415560296226711</v>
      </c>
      <c r="I47">
        <f>(B18*(B6-3)+((J47-3)*H47))/(B6+J47-6)</f>
        <v>0.11728239005118257</v>
      </c>
      <c r="J47">
        <v>73.356973374089222</v>
      </c>
      <c r="K47">
        <f>I47*SQRT(B6+J47-6)</f>
        <v>2.5758293560121297</v>
      </c>
    </row>
    <row r="48" spans="4:11" x14ac:dyDescent="0.3">
      <c r="D48">
        <v>27</v>
      </c>
      <c r="E48">
        <v>25</v>
      </c>
      <c r="G48">
        <v>-0.53</v>
      </c>
      <c r="H48">
        <f t="shared" si="1"/>
        <v>-0.59014515984118854</v>
      </c>
      <c r="I48">
        <f>(B18*(B6-3)+((J48-3)*H48))/(B6+J48-6)</f>
        <v>0.1170980986245336</v>
      </c>
      <c r="J48">
        <v>74.876431658834662</v>
      </c>
      <c r="K48">
        <f>I48*SQRT(B6+J48-6)</f>
        <v>2.5758292937973439</v>
      </c>
    </row>
    <row r="49" spans="4:11" x14ac:dyDescent="0.3">
      <c r="D49">
        <v>28</v>
      </c>
      <c r="E49">
        <v>28</v>
      </c>
      <c r="G49">
        <v>-0.52</v>
      </c>
      <c r="H49">
        <f t="shared" si="1"/>
        <v>-0.57633975496919276</v>
      </c>
      <c r="I49">
        <f>(B18*(B6-3)+((J49-3)*H49))/(B6+J49-6)</f>
        <v>0.11690942833892451</v>
      </c>
      <c r="J49">
        <v>76.439471862062035</v>
      </c>
      <c r="K49">
        <f>I49*SQRT(B6+J49-6)</f>
        <v>2.5758293073511127</v>
      </c>
    </row>
    <row r="50" spans="4:11" x14ac:dyDescent="0.3">
      <c r="D50">
        <v>22</v>
      </c>
      <c r="E50">
        <v>17</v>
      </c>
      <c r="G50">
        <v>-0.51</v>
      </c>
      <c r="H50">
        <f t="shared" si="1"/>
        <v>-0.56272976935214891</v>
      </c>
      <c r="I50">
        <f>(B18*(B6-3)+((J50-3)*H50))/(B6+J50-6)</f>
        <v>0.1167161340669414</v>
      </c>
      <c r="J50">
        <v>78.04864018520523</v>
      </c>
      <c r="K50">
        <f>I50*SQRT(B6+J50-6)</f>
        <v>2.5758291979292163</v>
      </c>
    </row>
    <row r="51" spans="4:11" x14ac:dyDescent="0.3">
      <c r="D51">
        <v>28</v>
      </c>
      <c r="E51">
        <v>19</v>
      </c>
      <c r="G51">
        <v>-0.5</v>
      </c>
      <c r="H51">
        <f t="shared" si="1"/>
        <v>-0.54930614433405489</v>
      </c>
      <c r="I51">
        <f>(B18*(B6-3)+((J51-3)*H51))/(B6+J51-6)</f>
        <v>0.11651798100958481</v>
      </c>
      <c r="J51">
        <v>79.706638054429874</v>
      </c>
      <c r="K51">
        <f>I51*SQRT(B6+J51-6)</f>
        <v>2.5758292450332143</v>
      </c>
    </row>
    <row r="52" spans="4:11" x14ac:dyDescent="0.3">
      <c r="D52">
        <v>12</v>
      </c>
      <c r="E52">
        <v>15</v>
      </c>
      <c r="G52">
        <v>-0.49</v>
      </c>
      <c r="H52">
        <f t="shared" si="1"/>
        <v>-0.53606033661056662</v>
      </c>
      <c r="I52">
        <f>(B18*(B6-3)+((J52-3)*H52))/(B6+J52-6)</f>
        <v>0.11631469490970009</v>
      </c>
      <c r="J52">
        <v>81.416373392741022</v>
      </c>
      <c r="K52">
        <f>I52*SQRT(B6+J52-6)</f>
        <v>2.5758292265118352</v>
      </c>
    </row>
    <row r="53" spans="4:11" x14ac:dyDescent="0.3">
      <c r="D53">
        <v>28</v>
      </c>
      <c r="E53">
        <v>22</v>
      </c>
      <c r="G53">
        <v>-0.48</v>
      </c>
      <c r="H53">
        <f t="shared" si="1"/>
        <v>-0.5229842775913438</v>
      </c>
      <c r="I53">
        <f>(B18*(B6-3)+((J53-3)*H53))/(B6+J53-6)</f>
        <v>0.11610600888081922</v>
      </c>
      <c r="J53">
        <v>83.180944371035039</v>
      </c>
      <c r="K53">
        <f>I53*SQRT(B6+J53-6)</f>
        <v>2.5758293899979932</v>
      </c>
    </row>
    <row r="54" spans="4:11" x14ac:dyDescent="0.3">
      <c r="D54">
        <v>28</v>
      </c>
      <c r="E54">
        <v>21</v>
      </c>
      <c r="G54">
        <v>-0.47</v>
      </c>
      <c r="H54">
        <f t="shared" si="1"/>
        <v>-0.51007033661330725</v>
      </c>
      <c r="I54">
        <f>(B18*(B6-3)+((J54-3)*H54))/(B6+J54-6)</f>
        <v>0.11589160572613715</v>
      </c>
      <c r="J54">
        <v>85.003702358611861</v>
      </c>
      <c r="K54">
        <f>I54*SQRT(B6+J54-6)</f>
        <v>2.5758293187050536</v>
      </c>
    </row>
    <row r="55" spans="4:11" x14ac:dyDescent="0.3">
      <c r="D55">
        <v>28</v>
      </c>
      <c r="E55">
        <v>28</v>
      </c>
      <c r="G55">
        <v>-0.46</v>
      </c>
      <c r="H55">
        <f t="shared" si="1"/>
        <v>-0.49731128757203097</v>
      </c>
      <c r="I55">
        <f>(B18*(B6-3)+((J55-3)*H55))/(B6+J55-6)</f>
        <v>0.11567118779965171</v>
      </c>
      <c r="J55">
        <v>86.888220396438825</v>
      </c>
      <c r="K55">
        <f>I55*SQRT(B6+J55-6)</f>
        <v>2.575829372717799</v>
      </c>
    </row>
    <row r="56" spans="4:11" x14ac:dyDescent="0.3">
      <c r="D56">
        <v>28</v>
      </c>
      <c r="E56">
        <v>28</v>
      </c>
      <c r="G56">
        <v>-0.45</v>
      </c>
      <c r="H56">
        <f t="shared" si="1"/>
        <v>-0.48470027859405168</v>
      </c>
      <c r="I56">
        <f>(B18*(B6-3)+((J56-3)*H56))/(B6+J56-6)</f>
        <v>0.115444411155777</v>
      </c>
      <c r="J56">
        <v>88.838368397269392</v>
      </c>
      <c r="K56">
        <f>I56*SQRT(B6+J56-6)</f>
        <v>2.5758293962227348</v>
      </c>
    </row>
    <row r="57" spans="4:11" x14ac:dyDescent="0.3">
      <c r="D57">
        <v>28</v>
      </c>
      <c r="E57">
        <v>23</v>
      </c>
      <c r="G57">
        <v>-0.44</v>
      </c>
      <c r="H57">
        <f t="shared" si="1"/>
        <v>-0.47223080442042559</v>
      </c>
      <c r="I57">
        <f>(B18*(B6-3)+((J57-3)*H57))/(B6+J57-6)</f>
        <v>0.11521091227205424</v>
      </c>
      <c r="J57">
        <v>90.858320313200906</v>
      </c>
      <c r="K57">
        <f>I57*SQRT(B6+J57-6)</f>
        <v>2.5758292956371593</v>
      </c>
    </row>
    <row r="58" spans="4:11" x14ac:dyDescent="0.3">
      <c r="D58">
        <v>28</v>
      </c>
      <c r="E58">
        <v>12</v>
      </c>
      <c r="G58">
        <v>-0.43</v>
      </c>
      <c r="H58">
        <f t="shared" si="1"/>
        <v>-0.45989668121267852</v>
      </c>
      <c r="I58">
        <f>(B18*(B6-3)+((J58-3)*H58))/(B6+J58-6)</f>
        <v>0.11497032285715938</v>
      </c>
      <c r="J58">
        <v>92.952571609344091</v>
      </c>
      <c r="K58">
        <f>I58*SQRT(B6+J58-6)</f>
        <v>2.5758293814694513</v>
      </c>
    </row>
    <row r="59" spans="4:11" x14ac:dyDescent="0.3">
      <c r="D59">
        <v>21</v>
      </c>
      <c r="E59">
        <v>18</v>
      </c>
      <c r="G59">
        <v>-0.42</v>
      </c>
      <c r="H59">
        <f t="shared" si="1"/>
        <v>-0.4476920235274206</v>
      </c>
      <c r="I59">
        <f>(B18*(B6-3)+((J59-3)*H59))/(B6+J59-6)</f>
        <v>0.11472221257815957</v>
      </c>
      <c r="J59">
        <v>95.126022881580184</v>
      </c>
      <c r="K59">
        <f>I59*SQRT(B6+J59-6)</f>
        <v>2.5758292614693383</v>
      </c>
    </row>
    <row r="60" spans="4:11" x14ac:dyDescent="0.3">
      <c r="D60">
        <v>28</v>
      </c>
      <c r="E60">
        <v>16</v>
      </c>
      <c r="G60">
        <v>-0.41</v>
      </c>
      <c r="H60">
        <f t="shared" si="1"/>
        <v>-0.43561122323622431</v>
      </c>
      <c r="I60">
        <f>(B18*(B6-3)+((J60-3)*H60))/(B6+J60-6)</f>
        <v>0.1144661599854314</v>
      </c>
      <c r="J60">
        <v>97.383957668865634</v>
      </c>
      <c r="K60">
        <f>I60*SQRT(B6+J60-6)</f>
        <v>2.5758293242442329</v>
      </c>
    </row>
    <row r="61" spans="4:11" x14ac:dyDescent="0.3">
      <c r="D61">
        <v>13</v>
      </c>
      <c r="E61">
        <v>18</v>
      </c>
      <c r="G61">
        <v>-0.4</v>
      </c>
      <c r="H61">
        <f t="shared" si="1"/>
        <v>-0.42364893019360178</v>
      </c>
      <c r="I61">
        <f>(B18*(B6-3)+((J61-3)*H61))/(B6+J61-6)</f>
        <v>0.11420168408346067</v>
      </c>
      <c r="J61">
        <v>99.732146702363394</v>
      </c>
      <c r="K61">
        <f>I61*SQRT(B6+J61-6)</f>
        <v>2.5758294190934059</v>
      </c>
    </row>
    <row r="62" spans="4:11" x14ac:dyDescent="0.3">
      <c r="D62">
        <v>17</v>
      </c>
      <c r="E62">
        <v>5</v>
      </c>
      <c r="G62">
        <v>-0.39</v>
      </c>
      <c r="H62">
        <f t="shared" si="1"/>
        <v>-0.41180003447869035</v>
      </c>
      <c r="I62">
        <f>(B18*(B6-3)+((J62-3)*H62))/(B6+J62-6)</f>
        <v>0.11392825757777104</v>
      </c>
      <c r="J62">
        <v>102.17688857983228</v>
      </c>
      <c r="K62">
        <f>I62*SQRT(B6+J62-6)</f>
        <v>2.5758291898832364</v>
      </c>
    </row>
    <row r="63" spans="4:11" x14ac:dyDescent="0.3">
      <c r="D63">
        <v>22</v>
      </c>
      <c r="E63">
        <v>18</v>
      </c>
      <c r="G63">
        <v>-0.38</v>
      </c>
      <c r="H63">
        <f t="shared" si="1"/>
        <v>-0.40005965005605654</v>
      </c>
      <c r="I63">
        <f>(B18*(B6-3)+((J63-3)*H63))/(B6+J63-6)</f>
        <v>0.11364536849844703</v>
      </c>
      <c r="J63">
        <v>104.72500687704751</v>
      </c>
      <c r="K63">
        <f>I63*SQRT(B6+J63-6)</f>
        <v>2.5758293920869617</v>
      </c>
    </row>
    <row r="64" spans="4:11" x14ac:dyDescent="0.3">
      <c r="D64">
        <v>20</v>
      </c>
      <c r="E64">
        <v>18</v>
      </c>
      <c r="G64">
        <v>-0.37</v>
      </c>
      <c r="H64">
        <f t="shared" si="1"/>
        <v>-0.38842309971829614</v>
      </c>
      <c r="I64">
        <f>(B18*(B6-3)+((J64-3)*H64))/(B6+J64-6)</f>
        <v>0.11335238049590209</v>
      </c>
      <c r="J64">
        <v>107.38405156808443</v>
      </c>
      <c r="K64">
        <f>I64*SQRT(B6+J64-6)</f>
        <v>2.5758291604697603</v>
      </c>
    </row>
    <row r="65" spans="4:11" x14ac:dyDescent="0.3">
      <c r="D65">
        <v>25</v>
      </c>
      <c r="E65">
        <v>14</v>
      </c>
      <c r="G65">
        <v>-0.36</v>
      </c>
      <c r="H65">
        <f t="shared" si="1"/>
        <v>-0.37688590118819004</v>
      </c>
      <c r="I65">
        <f>(B18*(B6-3)+((J65-3)*H65))/(B6+J65-6)</f>
        <v>0.11304870023092016</v>
      </c>
      <c r="J65">
        <v>110.16220842409736</v>
      </c>
      <c r="K65">
        <f>I65*SQRT(B6+J65-6)</f>
        <v>2.5758294782192332</v>
      </c>
    </row>
    <row r="66" spans="4:11" x14ac:dyDescent="0.3">
      <c r="D66">
        <v>26</v>
      </c>
      <c r="E66">
        <v>19</v>
      </c>
      <c r="G66">
        <v>-0.35</v>
      </c>
      <c r="H66">
        <f t="shared" ref="H66:H97" si="2">0.5*LN((1+G66)/(1-G66))</f>
        <v>-0.36544375427139619</v>
      </c>
      <c r="I66">
        <f>(B18*(B6-3)+((J66-3)*H66))/(B6+J66-6)</f>
        <v>0.11273358176761478</v>
      </c>
      <c r="J66">
        <v>113.06858483573068</v>
      </c>
      <c r="K66">
        <f>I66*SQRT(B6+J66-6)</f>
        <v>2.5758293410596926</v>
      </c>
    </row>
    <row r="67" spans="4:11" x14ac:dyDescent="0.3">
      <c r="D67">
        <v>28</v>
      </c>
      <c r="E67">
        <v>28</v>
      </c>
      <c r="G67">
        <v>-0.34</v>
      </c>
      <c r="H67">
        <f t="shared" si="2"/>
        <v>-0.35409252896224297</v>
      </c>
      <c r="I67">
        <f>(B18*(B6-3)+((J67-3)*H67))/(B6+J67-6)</f>
        <v>0.11240629181891895</v>
      </c>
      <c r="J67">
        <v>116.11313938336774</v>
      </c>
      <c r="K67">
        <f>I67*SQRT(B6+J67-6)</f>
        <v>2.5758292096132696</v>
      </c>
    </row>
    <row r="68" spans="4:11" x14ac:dyDescent="0.3">
      <c r="D68">
        <v>27</v>
      </c>
      <c r="E68">
        <v>22</v>
      </c>
      <c r="G68">
        <v>-0.33</v>
      </c>
      <c r="H68">
        <f t="shared" si="2"/>
        <v>-0.34282825441539394</v>
      </c>
      <c r="I68">
        <f>(B18*(B6-3)+((J68-3)*H68))/(B6+J68-6)</f>
        <v>0.11206601690998623</v>
      </c>
      <c r="J68">
        <v>119.30689312821127</v>
      </c>
      <c r="K68">
        <f>I68*SQRT(B6+J68-6)</f>
        <v>2.5758292762007469</v>
      </c>
    </row>
    <row r="69" spans="4:11" x14ac:dyDescent="0.3">
      <c r="D69">
        <v>23</v>
      </c>
      <c r="E69">
        <v>14</v>
      </c>
      <c r="G69">
        <v>-0.32</v>
      </c>
      <c r="H69">
        <f t="shared" si="2"/>
        <v>-0.3316471087051322</v>
      </c>
      <c r="I69">
        <f>(B18*(B6-3)+((J69-3)*H69))/(B6+J69-6)</f>
        <v>0.11171185247787949</v>
      </c>
      <c r="J69">
        <v>122.66207924193723</v>
      </c>
      <c r="K69">
        <f>I69*SQRT(B6+J69-6)</f>
        <v>2.5758294028473974</v>
      </c>
    </row>
    <row r="70" spans="4:11" x14ac:dyDescent="0.3">
      <c r="D70">
        <v>22</v>
      </c>
      <c r="E70">
        <v>10</v>
      </c>
      <c r="G70">
        <v>-0.31</v>
      </c>
      <c r="H70">
        <f t="shared" si="2"/>
        <v>-0.32054540930194608</v>
      </c>
      <c r="I70">
        <f>(B18*(B6-3)+((J70-3)*H70))/(B6+J70-6)</f>
        <v>0.11134279746796068</v>
      </c>
      <c r="J70">
        <v>126.19230989823434</v>
      </c>
      <c r="K70">
        <f>I70*SQRT(B6+J70-6)</f>
        <v>2.5758291929032686</v>
      </c>
    </row>
    <row r="71" spans="4:11" x14ac:dyDescent="0.3">
      <c r="D71">
        <v>22</v>
      </c>
      <c r="E71">
        <v>16</v>
      </c>
      <c r="G71">
        <v>-0.3</v>
      </c>
      <c r="H71">
        <f t="shared" si="2"/>
        <v>-0.30951960420311175</v>
      </c>
      <c r="I71">
        <f>(B18*(B6-3)+((J71-3)*H71))/(B6+J71-6)</f>
        <v>0.11095780353374288</v>
      </c>
      <c r="J71">
        <v>129.91270048945245</v>
      </c>
      <c r="K71">
        <f>I71*SQRT(B6+J71-6)</f>
        <v>2.5758291898563397</v>
      </c>
    </row>
    <row r="72" spans="4:11" x14ac:dyDescent="0.3">
      <c r="D72">
        <v>27</v>
      </c>
      <c r="E72">
        <v>9</v>
      </c>
      <c r="G72">
        <v>-0.28999999999999998</v>
      </c>
      <c r="H72">
        <f t="shared" si="2"/>
        <v>-0.29856626366017835</v>
      </c>
      <c r="I72">
        <f>(B18*(B6-3)+((J72-3)*H72))/(B6+J72-6)</f>
        <v>0.11055567915223129</v>
      </c>
      <c r="J72">
        <v>133.84020423811864</v>
      </c>
      <c r="K72">
        <f>I72*SQRT(B6+J72-6)</f>
        <v>2.5758291841071048</v>
      </c>
    </row>
    <row r="73" spans="4:11" x14ac:dyDescent="0.3">
      <c r="D73">
        <v>22</v>
      </c>
      <c r="E73">
        <v>21</v>
      </c>
      <c r="G73">
        <v>-0.28000000000000003</v>
      </c>
      <c r="H73">
        <f t="shared" si="2"/>
        <v>-0.2876820724517809</v>
      </c>
      <c r="I73">
        <f>(B18*(B6-3)+((J73-3)*H73))/(B6+J73-6)</f>
        <v>0.11013513676693092</v>
      </c>
      <c r="J73">
        <v>137.99381317385539</v>
      </c>
      <c r="K73">
        <f>I73*SQRT(B6+J73-6)</f>
        <v>2.575829439845073</v>
      </c>
    </row>
    <row r="74" spans="4:11" x14ac:dyDescent="0.3">
      <c r="D74">
        <v>23</v>
      </c>
      <c r="E74">
        <v>9</v>
      </c>
      <c r="G74">
        <v>-0.27</v>
      </c>
      <c r="H74">
        <f t="shared" si="2"/>
        <v>-0.27686382265510007</v>
      </c>
      <c r="I74">
        <f>(B18*(B6-3)+((J74-3)*H74))/(B6+J74-6)</f>
        <v>0.1096947025078735</v>
      </c>
      <c r="J74">
        <v>142.39498788864967</v>
      </c>
      <c r="K74">
        <f>I74*SQRT(B6+J74-6)</f>
        <v>2.5758291976658292</v>
      </c>
    </row>
    <row r="75" spans="4:11" x14ac:dyDescent="0.3">
      <c r="D75">
        <v>25</v>
      </c>
      <c r="E75">
        <v>20</v>
      </c>
      <c r="G75">
        <v>-0.26</v>
      </c>
      <c r="H75">
        <f t="shared" si="2"/>
        <v>-0.26610840687365411</v>
      </c>
      <c r="I75">
        <f>(B18*(B6-3)+((J75-3)*H75))/(B6+J75-6)</f>
        <v>0.10923282580079854</v>
      </c>
      <c r="J75">
        <v>147.06787592015709</v>
      </c>
      <c r="K75">
        <f>I75*SQRT(B6+J75-6)</f>
        <v>2.5758292590597716</v>
      </c>
    </row>
    <row r="76" spans="4:11" x14ac:dyDescent="0.3">
      <c r="D76">
        <v>26</v>
      </c>
      <c r="E76">
        <v>26</v>
      </c>
      <c r="G76">
        <v>-0.25</v>
      </c>
      <c r="H76">
        <f t="shared" si="2"/>
        <v>-0.25541281188299536</v>
      </c>
      <c r="I76">
        <f>(B18*(B6-3)+((J76-3)*H76))/(B6+J76-6)</f>
        <v>0.10874771845819073</v>
      </c>
      <c r="J76">
        <v>152.03998055738197</v>
      </c>
      <c r="K76">
        <f>I76*SQRT(B6+J76-6)</f>
        <v>2.5758291849642596</v>
      </c>
    </row>
    <row r="77" spans="4:11" x14ac:dyDescent="0.3">
      <c r="D77">
        <v>21</v>
      </c>
      <c r="E77">
        <v>21</v>
      </c>
      <c r="G77">
        <v>-0.24</v>
      </c>
      <c r="H77">
        <f t="shared" si="2"/>
        <v>-0.24477411265935289</v>
      </c>
      <c r="I77">
        <f>(B18*(B6-3)+((J77-3)*H77))/(B6+J77-6)</f>
        <v>0.10823742618159916</v>
      </c>
      <c r="J77">
        <v>157.34260012764025</v>
      </c>
      <c r="K77">
        <f>I77*SQRT(B6+J77-6)</f>
        <v>2.5758292564682028</v>
      </c>
    </row>
    <row r="78" spans="4:11" x14ac:dyDescent="0.3">
      <c r="D78">
        <v>28</v>
      </c>
      <c r="E78">
        <v>11</v>
      </c>
      <c r="G78">
        <v>-0.23</v>
      </c>
      <c r="H78">
        <f t="shared" si="2"/>
        <v>-0.23418946675936678</v>
      </c>
      <c r="I78">
        <f>(B18*(B6-3)+((J78-3)*H78))/(B6+J78-6)</f>
        <v>0.10769973333726048</v>
      </c>
      <c r="J78">
        <v>163.01163013098414</v>
      </c>
      <c r="K78">
        <f>I78*SQRT(B6+J78-6)</f>
        <v>2.5758291724100286</v>
      </c>
    </row>
    <row r="79" spans="4:11" x14ac:dyDescent="0.3">
      <c r="D79">
        <v>27</v>
      </c>
      <c r="E79">
        <v>20</v>
      </c>
      <c r="G79">
        <v>-0.22</v>
      </c>
      <c r="H79">
        <f t="shared" si="2"/>
        <v>-0.22365610902183239</v>
      </c>
      <c r="I79">
        <f>(B18*(B6-3)+((J79-3)*H79))/(B6+J79-6)</f>
        <v>0.10713219028812498</v>
      </c>
      <c r="J79">
        <v>169.08832925013186</v>
      </c>
      <c r="K79">
        <f>I79*SQRT(B6+J79-6)</f>
        <v>2.575829335009979</v>
      </c>
    </row>
    <row r="80" spans="4:11" x14ac:dyDescent="0.3">
      <c r="D80">
        <v>20</v>
      </c>
      <c r="E80">
        <v>21</v>
      </c>
      <c r="G80">
        <v>-0.21</v>
      </c>
      <c r="H80">
        <f t="shared" si="2"/>
        <v>-0.21317134656485975</v>
      </c>
      <c r="I80">
        <f>(B18*(B6-3)+((J80-3)*H80))/(B6+J80-6)</f>
        <v>0.10653199082904605</v>
      </c>
      <c r="J80">
        <v>175.62052562506616</v>
      </c>
      <c r="K80">
        <f>I80*SQRT(B6+J80-6)</f>
        <v>2.5758292619225465</v>
      </c>
    </row>
    <row r="81" spans="4:11" x14ac:dyDescent="0.3">
      <c r="D81">
        <v>26</v>
      </c>
      <c r="E81">
        <v>22</v>
      </c>
      <c r="G81">
        <v>-0.2</v>
      </c>
      <c r="H81">
        <f t="shared" si="2"/>
        <v>-0.20273255405408214</v>
      </c>
      <c r="I81">
        <f>(B18*(B6-3)+((J81-3)*H81))/(B6+J81-6)</f>
        <v>0.1058960032361539</v>
      </c>
      <c r="J81">
        <v>182.66381828091991</v>
      </c>
      <c r="K81">
        <f>I81*SQRT(B6+J81-6)</f>
        <v>2.5758292768147855</v>
      </c>
    </row>
    <row r="82" spans="4:11" x14ac:dyDescent="0.3">
      <c r="D82">
        <v>28</v>
      </c>
      <c r="E82">
        <v>27</v>
      </c>
      <c r="G82">
        <v>-0.19</v>
      </c>
      <c r="H82">
        <f t="shared" si="2"/>
        <v>-0.1923371692195453</v>
      </c>
      <c r="I82">
        <f>(B18*(B6-3)+((J82-3)*H82))/(B6+J82-6)</f>
        <v>0.10522065132503873</v>
      </c>
      <c r="J82">
        <v>190.28336535965809</v>
      </c>
      <c r="K82">
        <f>I82*SQRT(B6+J82-6)</f>
        <v>2.5758294083301085</v>
      </c>
    </row>
    <row r="83" spans="4:11" x14ac:dyDescent="0.3">
      <c r="D83">
        <v>22</v>
      </c>
      <c r="E83">
        <v>17</v>
      </c>
      <c r="G83">
        <v>-0.18</v>
      </c>
      <c r="H83">
        <f t="shared" si="2"/>
        <v>-0.18198268860070579</v>
      </c>
      <c r="I83">
        <f>(B18*(B6-3)+((J83-3)*H83))/(B6+J83-6)</f>
        <v>0.10450183726885627</v>
      </c>
      <c r="J83">
        <v>198.5560470212971</v>
      </c>
      <c r="K83">
        <f>I83*SQRT(B6+J83-6)</f>
        <v>2.5758294236012831</v>
      </c>
    </row>
    <row r="84" spans="4:11" x14ac:dyDescent="0.3">
      <c r="D84">
        <v>18</v>
      </c>
      <c r="E84">
        <v>25</v>
      </c>
      <c r="G84">
        <v>-0.17</v>
      </c>
      <c r="H84">
        <f t="shared" si="2"/>
        <v>-0.17166666350057908</v>
      </c>
      <c r="I84">
        <f>(B18*(B6-3)+((J84-3)*H84))/(B6+J84-6)</f>
        <v>0.10373486904201984</v>
      </c>
      <c r="J84">
        <v>207.57319827210509</v>
      </c>
      <c r="K84">
        <f>I84*SQRT(B6+J84-6)</f>
        <v>2.5758293313966125</v>
      </c>
    </row>
    <row r="85" spans="4:11" x14ac:dyDescent="0.3">
      <c r="D85">
        <v>28</v>
      </c>
      <c r="E85">
        <v>18</v>
      </c>
      <c r="G85">
        <v>-0.16</v>
      </c>
      <c r="H85">
        <f t="shared" si="2"/>
        <v>-0.16138669613152551</v>
      </c>
      <c r="I85">
        <f>(B18*(B6-3)+((J85-3)*H85))/(B6+J85-6)</f>
        <v>0.10291433883948989</v>
      </c>
      <c r="J85">
        <v>217.44422558139664</v>
      </c>
      <c r="K85">
        <f>I85*SQRT(B6+J85-6)</f>
        <v>2.5758293861258079</v>
      </c>
    </row>
    <row r="86" spans="4:11" x14ac:dyDescent="0.3">
      <c r="D86">
        <v>20</v>
      </c>
      <c r="E86">
        <v>9</v>
      </c>
      <c r="G86">
        <v>-0.15</v>
      </c>
      <c r="H86">
        <f t="shared" si="2"/>
        <v>-0.15114043593646675</v>
      </c>
      <c r="I86">
        <f>(B18*(B6-3)+((J86-3)*H86))/(B6+J86-6)</f>
        <v>0.10203393437633737</v>
      </c>
      <c r="J86">
        <v>228.30146844273628</v>
      </c>
      <c r="K86">
        <f>I86*SQRT(B6+J86-6)</f>
        <v>2.575829381547456</v>
      </c>
    </row>
    <row r="87" spans="4:11" x14ac:dyDescent="0.3">
      <c r="D87">
        <v>20</v>
      </c>
      <c r="E87">
        <v>17</v>
      </c>
      <c r="G87">
        <v>-0.14000000000000001</v>
      </c>
      <c r="H87">
        <f t="shared" si="2"/>
        <v>-0.14092557607049394</v>
      </c>
      <c r="I87">
        <f>(B18*(B6-3)+((J87-3)*H87))/(B6+J87-6)</f>
        <v>0.10108627446172092</v>
      </c>
      <c r="J87">
        <v>240.30653338695518</v>
      </c>
      <c r="K87">
        <f>I87*SQRT(B6+J87-6)</f>
        <v>2.5758292900593651</v>
      </c>
    </row>
    <row r="88" spans="4:11" x14ac:dyDescent="0.3">
      <c r="D88">
        <v>19</v>
      </c>
      <c r="E88">
        <v>16</v>
      </c>
      <c r="G88">
        <v>-0.13</v>
      </c>
      <c r="H88">
        <f t="shared" si="2"/>
        <v>-0.13073985002887836</v>
      </c>
      <c r="I88">
        <f>(B18*(B6-3)+((J88-3)*H88))/(B6+J88-6)</f>
        <v>0.10006265744710194</v>
      </c>
      <c r="J88">
        <v>253.6589903682291</v>
      </c>
      <c r="K88">
        <f>I88*SQRT(B6+J88-6)</f>
        <v>2.5758293051712955</v>
      </c>
    </row>
    <row r="89" spans="4:11" x14ac:dyDescent="0.3">
      <c r="D89">
        <v>25</v>
      </c>
      <c r="E89">
        <v>9</v>
      </c>
      <c r="G89">
        <v>-0.12</v>
      </c>
      <c r="H89">
        <f t="shared" si="2"/>
        <v>-0.12058102840844405</v>
      </c>
      <c r="I89">
        <f>(B18*(B6-3)+((J89-3)*H89))/(B6+J89-6)</f>
        <v>9.8952702399607545E-2</v>
      </c>
      <c r="J89">
        <v>268.60850017592821</v>
      </c>
      <c r="K89">
        <f>I89*SQRT(B6+J89-6)</f>
        <v>2.5758293175939544</v>
      </c>
    </row>
    <row r="90" spans="4:11" x14ac:dyDescent="0.3">
      <c r="D90">
        <v>21</v>
      </c>
      <c r="E90">
        <v>22</v>
      </c>
      <c r="G90">
        <v>-0.11</v>
      </c>
      <c r="H90">
        <f t="shared" si="2"/>
        <v>-0.1104469157900972</v>
      </c>
      <c r="I90">
        <f>(B18*(B6-3)+((J90-3)*H90))/(B6+J90-6)</f>
        <v>9.7743927067403813E-2</v>
      </c>
      <c r="J90">
        <v>285.47179178323626</v>
      </c>
      <c r="K90">
        <f>I90*SQRT(B6+J90-6)</f>
        <v>2.5758293583181535</v>
      </c>
    </row>
    <row r="91" spans="4:11" x14ac:dyDescent="0.3">
      <c r="D91">
        <v>28</v>
      </c>
      <c r="E91">
        <v>4</v>
      </c>
      <c r="G91">
        <v>-0.1</v>
      </c>
      <c r="H91">
        <f t="shared" si="2"/>
        <v>-0.10033534773107562</v>
      </c>
      <c r="I91">
        <f>(B18*(B6-3)+((J91-3)*H91))/(B6+J91-6)</f>
        <v>9.6421133864682845E-2</v>
      </c>
      <c r="J91">
        <v>304.65731127619949</v>
      </c>
      <c r="K91">
        <f>I91*SQRT(B6+J91-6)</f>
        <v>2.5758293889013482</v>
      </c>
    </row>
    <row r="92" spans="4:11" x14ac:dyDescent="0.3">
      <c r="D92">
        <v>28</v>
      </c>
      <c r="E92">
        <v>23</v>
      </c>
      <c r="G92">
        <v>-0.09</v>
      </c>
      <c r="H92">
        <f t="shared" si="2"/>
        <v>-9.0244187856146837E-2</v>
      </c>
      <c r="I92">
        <f>(B18*(B6-3)+((J92-3)*H92))/(B6+J92-6)</f>
        <v>9.4965580011874884E-2</v>
      </c>
      <c r="J92">
        <v>326.70171450363245</v>
      </c>
      <c r="K92">
        <f>I92*SQRT(B6+J92-6)</f>
        <v>2.5758294789435658</v>
      </c>
    </row>
    <row r="93" spans="4:11" x14ac:dyDescent="0.3">
      <c r="D93">
        <v>5</v>
      </c>
      <c r="E93">
        <v>13</v>
      </c>
      <c r="G93">
        <v>-0.08</v>
      </c>
      <c r="H93">
        <f t="shared" si="2"/>
        <v>-8.0171325037589683E-2</v>
      </c>
      <c r="I93">
        <f>(B18*(B6-3)+((J93-3)*H93))/(B6+J93-6)</f>
        <v>9.3353756180808753E-2</v>
      </c>
      <c r="J93">
        <v>352.32581730825086</v>
      </c>
      <c r="K93">
        <f>I93*SQRT(B6+J93-6)</f>
        <v>2.5758292799669409</v>
      </c>
    </row>
    <row r="94" spans="4:11" x14ac:dyDescent="0.3">
      <c r="D94">
        <v>24</v>
      </c>
      <c r="E94">
        <v>13</v>
      </c>
      <c r="G94">
        <v>-7.0000000000000007E-2</v>
      </c>
      <c r="H94">
        <f t="shared" si="2"/>
        <v>-7.0114670654325195E-2</v>
      </c>
      <c r="I94">
        <f>(B18*(B6-3)+((J94-3)*H94))/(B6+J94-6)</f>
        <v>9.1555699765117099E-2</v>
      </c>
      <c r="J94">
        <v>382.5227901326304</v>
      </c>
      <c r="K94">
        <f>I94*SQRT(B6+J94-6)</f>
        <v>2.5758294144388465</v>
      </c>
    </row>
    <row r="95" spans="4:11" x14ac:dyDescent="0.3">
      <c r="D95">
        <v>28</v>
      </c>
      <c r="E95">
        <v>21</v>
      </c>
      <c r="G95">
        <v>-0.06</v>
      </c>
      <c r="H95">
        <f t="shared" si="2"/>
        <v>-6.007215592103167E-2</v>
      </c>
      <c r="I95">
        <f>(B18*(B6-3)+((J95-3)*H95))/(B6+J95-6)</f>
        <v>8.9532207168744479E-2</v>
      </c>
      <c r="J95">
        <v>418.70491480751633</v>
      </c>
      <c r="K95">
        <f>I95*SQRT(B6+J95-6)</f>
        <v>2.5758291752598637</v>
      </c>
    </row>
    <row r="96" spans="4:11" x14ac:dyDescent="0.3">
      <c r="D96">
        <v>26</v>
      </c>
      <c r="E96">
        <v>25</v>
      </c>
      <c r="G96">
        <v>-0.05</v>
      </c>
      <c r="H96">
        <f t="shared" si="2"/>
        <v>-5.0041729278491327E-2</v>
      </c>
      <c r="I96">
        <f>(B18*(B6-3)+((J96-3)*H96))/(B6+J96-6)</f>
        <v>8.7230714065285E-2</v>
      </c>
      <c r="J96">
        <v>462.95745856705526</v>
      </c>
      <c r="K96">
        <f>I96*SQRT(B6+J96-6)</f>
        <v>2.57582928262023</v>
      </c>
    </row>
    <row r="97" spans="4:11" x14ac:dyDescent="0.3">
      <c r="D97">
        <v>4</v>
      </c>
      <c r="E97">
        <v>11</v>
      </c>
      <c r="G97">
        <v>-0.04</v>
      </c>
      <c r="H97">
        <f t="shared" si="2"/>
        <v>-4.0021353836768248E-2</v>
      </c>
      <c r="I97">
        <f>(B18*(B6-3)+((J97-3)*H97))/(B6+J97-6)</f>
        <v>8.4578005380071139E-2</v>
      </c>
      <c r="J97">
        <v>518.51148058649619</v>
      </c>
      <c r="K97">
        <f>I97*SQRT(B6+J97-6)</f>
        <v>2.5758293407514961</v>
      </c>
    </row>
    <row r="98" spans="4:11" x14ac:dyDescent="0.3">
      <c r="D98">
        <v>25</v>
      </c>
      <c r="E98">
        <v>20</v>
      </c>
      <c r="G98">
        <v>-0.03</v>
      </c>
      <c r="H98">
        <f t="shared" ref="H98:H129" si="3">0.5*LN((1+G98)/(1-G98))</f>
        <v>-3.000900486312652E-2</v>
      </c>
      <c r="I98">
        <f>(B18*(B6-3)+((J98-3)*H98))/(B6+J98-6)</f>
        <v>8.1467334691182308E-2</v>
      </c>
      <c r="J98">
        <v>590.69418457543418</v>
      </c>
      <c r="K98">
        <f>I98*SQRT(B6+J98-6)</f>
        <v>2.575829370737218</v>
      </c>
    </row>
    <row r="99" spans="4:11" x14ac:dyDescent="0.3">
      <c r="D99">
        <v>28</v>
      </c>
      <c r="E99">
        <v>18</v>
      </c>
      <c r="G99">
        <v>-0.02</v>
      </c>
      <c r="H99">
        <f t="shared" si="3"/>
        <v>-2.0002667306849624E-2</v>
      </c>
      <c r="I99">
        <f>(B18*(B6-3)+((J99-3)*H99))/(B6+J99-6)</f>
        <v>7.7732583117466919E-2</v>
      </c>
      <c r="J99">
        <v>689.0647906572691</v>
      </c>
      <c r="K99">
        <f>I99*SQRT(B6+J99-6)</f>
        <v>2.5758293237493732</v>
      </c>
    </row>
    <row r="100" spans="4:11" x14ac:dyDescent="0.3">
      <c r="D100">
        <v>28</v>
      </c>
      <c r="E100">
        <v>22</v>
      </c>
      <c r="G100">
        <v>-0.01</v>
      </c>
      <c r="H100">
        <f t="shared" si="3"/>
        <v>-1.0000333353334771E-2</v>
      </c>
      <c r="I100">
        <f>(B18*(B6-3)+((J100-3)*H100))/(B6+J100-6)</f>
        <v>7.3089187726543575E-2</v>
      </c>
      <c r="J100">
        <v>833.01793880788443</v>
      </c>
      <c r="K100">
        <f>I100*SQRT(B6+J100-6)</f>
        <v>2.5758292447085172</v>
      </c>
    </row>
    <row r="101" spans="4:11" x14ac:dyDescent="0.3">
      <c r="D101">
        <v>23</v>
      </c>
      <c r="E101">
        <v>12</v>
      </c>
    </row>
    <row r="102" spans="4:11" x14ac:dyDescent="0.3">
      <c r="D102">
        <v>28</v>
      </c>
      <c r="E102">
        <v>24</v>
      </c>
    </row>
    <row r="103" spans="4:11" x14ac:dyDescent="0.3">
      <c r="D103">
        <v>28</v>
      </c>
      <c r="E103">
        <v>23</v>
      </c>
    </row>
    <row r="104" spans="4:11" x14ac:dyDescent="0.3">
      <c r="D104">
        <v>26</v>
      </c>
      <c r="E104">
        <v>27</v>
      </c>
    </row>
    <row r="105" spans="4:11" x14ac:dyDescent="0.3">
      <c r="D105">
        <v>27</v>
      </c>
      <c r="E105">
        <v>23</v>
      </c>
    </row>
    <row r="106" spans="4:11" x14ac:dyDescent="0.3">
      <c r="D106">
        <v>28</v>
      </c>
      <c r="E106">
        <v>23</v>
      </c>
    </row>
    <row r="107" spans="4:11" x14ac:dyDescent="0.3">
      <c r="D107">
        <v>18</v>
      </c>
      <c r="E107">
        <v>15</v>
      </c>
    </row>
    <row r="108" spans="4:11" x14ac:dyDescent="0.3">
      <c r="D108">
        <v>25</v>
      </c>
      <c r="E108">
        <v>17</v>
      </c>
    </row>
    <row r="109" spans="4:11" x14ac:dyDescent="0.3">
      <c r="D109">
        <v>23</v>
      </c>
      <c r="E109">
        <v>16</v>
      </c>
    </row>
    <row r="110" spans="4:11" x14ac:dyDescent="0.3">
      <c r="D110">
        <v>28</v>
      </c>
      <c r="E110">
        <v>8</v>
      </c>
    </row>
    <row r="111" spans="4:11" x14ac:dyDescent="0.3">
      <c r="D111">
        <v>24</v>
      </c>
      <c r="E111">
        <v>16</v>
      </c>
    </row>
    <row r="112" spans="4:11" x14ac:dyDescent="0.3">
      <c r="D112">
        <v>16</v>
      </c>
      <c r="E112">
        <v>16</v>
      </c>
    </row>
    <row r="113" spans="4:5" x14ac:dyDescent="0.3">
      <c r="D113">
        <v>19</v>
      </c>
      <c r="E113">
        <v>17</v>
      </c>
    </row>
    <row r="114" spans="4:5" x14ac:dyDescent="0.3">
      <c r="D114">
        <v>27</v>
      </c>
      <c r="E114">
        <v>25</v>
      </c>
    </row>
    <row r="115" spans="4:5" x14ac:dyDescent="0.3">
      <c r="D115">
        <v>28</v>
      </c>
      <c r="E115">
        <v>23</v>
      </c>
    </row>
    <row r="116" spans="4:5" x14ac:dyDescent="0.3">
      <c r="D116">
        <v>25</v>
      </c>
      <c r="E116">
        <v>18</v>
      </c>
    </row>
    <row r="117" spans="4:5" x14ac:dyDescent="0.3">
      <c r="D117">
        <v>28</v>
      </c>
      <c r="E117">
        <v>22</v>
      </c>
    </row>
    <row r="118" spans="4:5" x14ac:dyDescent="0.3">
      <c r="D118">
        <v>28</v>
      </c>
      <c r="E118">
        <v>28</v>
      </c>
    </row>
    <row r="119" spans="4:5" x14ac:dyDescent="0.3">
      <c r="D119">
        <v>22</v>
      </c>
      <c r="E119">
        <v>9</v>
      </c>
    </row>
    <row r="120" spans="4:5" x14ac:dyDescent="0.3">
      <c r="D120">
        <v>28</v>
      </c>
      <c r="E120">
        <v>22</v>
      </c>
    </row>
    <row r="121" spans="4:5" x14ac:dyDescent="0.3">
      <c r="D121">
        <v>28</v>
      </c>
      <c r="E121">
        <v>16</v>
      </c>
    </row>
    <row r="122" spans="4:5" x14ac:dyDescent="0.3">
      <c r="D122">
        <v>27</v>
      </c>
      <c r="E122">
        <v>15</v>
      </c>
    </row>
    <row r="123" spans="4:5" x14ac:dyDescent="0.3">
      <c r="D123">
        <v>10</v>
      </c>
      <c r="E123">
        <v>14</v>
      </c>
    </row>
    <row r="124" spans="4:5" x14ac:dyDescent="0.3">
      <c r="D124">
        <v>28</v>
      </c>
      <c r="E124">
        <v>20</v>
      </c>
    </row>
    <row r="125" spans="4:5" x14ac:dyDescent="0.3">
      <c r="D125">
        <v>28</v>
      </c>
      <c r="E125">
        <v>28</v>
      </c>
    </row>
    <row r="126" spans="4:5" x14ac:dyDescent="0.3">
      <c r="D126">
        <v>25</v>
      </c>
      <c r="E126">
        <v>21</v>
      </c>
    </row>
    <row r="127" spans="4:5" x14ac:dyDescent="0.3">
      <c r="D127">
        <v>23</v>
      </c>
      <c r="E127">
        <v>20</v>
      </c>
    </row>
    <row r="128" spans="4:5" x14ac:dyDescent="0.3">
      <c r="D128">
        <v>16</v>
      </c>
      <c r="E128">
        <v>13</v>
      </c>
    </row>
    <row r="129" spans="4:5" x14ac:dyDescent="0.3">
      <c r="D129">
        <v>24</v>
      </c>
      <c r="E129">
        <v>24</v>
      </c>
    </row>
    <row r="130" spans="4:5" x14ac:dyDescent="0.3">
      <c r="D130">
        <v>28</v>
      </c>
      <c r="E130">
        <v>28</v>
      </c>
    </row>
    <row r="131" spans="4:5" x14ac:dyDescent="0.3">
      <c r="D131">
        <v>26</v>
      </c>
      <c r="E131">
        <v>19</v>
      </c>
    </row>
    <row r="132" spans="4:5" x14ac:dyDescent="0.3">
      <c r="D132">
        <v>28</v>
      </c>
      <c r="E132">
        <v>24</v>
      </c>
    </row>
    <row r="133" spans="4:5" x14ac:dyDescent="0.3">
      <c r="D133">
        <v>28</v>
      </c>
      <c r="E133">
        <v>21</v>
      </c>
    </row>
    <row r="134" spans="4:5" x14ac:dyDescent="0.3">
      <c r="D134">
        <v>28</v>
      </c>
      <c r="E134">
        <v>20</v>
      </c>
    </row>
    <row r="135" spans="4:5" x14ac:dyDescent="0.3">
      <c r="D135">
        <v>19</v>
      </c>
      <c r="E135">
        <v>19</v>
      </c>
    </row>
    <row r="136" spans="4:5" x14ac:dyDescent="0.3">
      <c r="D136">
        <v>24</v>
      </c>
      <c r="E136">
        <v>20</v>
      </c>
    </row>
    <row r="137" spans="4:5" x14ac:dyDescent="0.3">
      <c r="D137">
        <v>24</v>
      </c>
      <c r="E137">
        <v>15</v>
      </c>
    </row>
    <row r="138" spans="4:5" x14ac:dyDescent="0.3">
      <c r="D138">
        <v>27</v>
      </c>
      <c r="E138">
        <v>26</v>
      </c>
    </row>
    <row r="139" spans="4:5" x14ac:dyDescent="0.3">
      <c r="D139">
        <v>28</v>
      </c>
      <c r="E139">
        <v>27</v>
      </c>
    </row>
    <row r="140" spans="4:5" x14ac:dyDescent="0.3">
      <c r="D140">
        <v>27</v>
      </c>
      <c r="E140">
        <v>21</v>
      </c>
    </row>
    <row r="141" spans="4:5" x14ac:dyDescent="0.3">
      <c r="D141">
        <v>28</v>
      </c>
      <c r="E141">
        <v>25</v>
      </c>
    </row>
    <row r="142" spans="4:5" x14ac:dyDescent="0.3">
      <c r="D142">
        <v>27</v>
      </c>
      <c r="E142">
        <v>20</v>
      </c>
    </row>
    <row r="143" spans="4:5" x14ac:dyDescent="0.3">
      <c r="D143">
        <v>25</v>
      </c>
      <c r="E143">
        <v>15</v>
      </c>
    </row>
    <row r="144" spans="4:5" x14ac:dyDescent="0.3">
      <c r="D144">
        <v>25</v>
      </c>
      <c r="E144">
        <v>19</v>
      </c>
    </row>
    <row r="145" spans="4:5" x14ac:dyDescent="0.3">
      <c r="D145">
        <v>14</v>
      </c>
      <c r="E145">
        <v>13</v>
      </c>
    </row>
    <row r="146" spans="4:5" x14ac:dyDescent="0.3">
      <c r="D146">
        <v>25</v>
      </c>
      <c r="E146">
        <v>16</v>
      </c>
    </row>
    <row r="147" spans="4:5" x14ac:dyDescent="0.3">
      <c r="D147">
        <v>22</v>
      </c>
      <c r="E147">
        <v>22</v>
      </c>
    </row>
    <row r="148" spans="4:5" x14ac:dyDescent="0.3">
      <c r="D148">
        <v>28</v>
      </c>
      <c r="E148">
        <v>28</v>
      </c>
    </row>
    <row r="149" spans="4:5" x14ac:dyDescent="0.3">
      <c r="D149">
        <v>22</v>
      </c>
      <c r="E149">
        <v>17</v>
      </c>
    </row>
    <row r="150" spans="4:5" x14ac:dyDescent="0.3">
      <c r="D150">
        <v>22</v>
      </c>
      <c r="E150">
        <v>28</v>
      </c>
    </row>
    <row r="151" spans="4:5" x14ac:dyDescent="0.3">
      <c r="D151">
        <v>28</v>
      </c>
      <c r="E151">
        <v>11</v>
      </c>
    </row>
    <row r="152" spans="4:5" x14ac:dyDescent="0.3">
      <c r="D152">
        <v>20</v>
      </c>
      <c r="E152">
        <v>20</v>
      </c>
    </row>
    <row r="153" spans="4:5" x14ac:dyDescent="0.3">
      <c r="D153">
        <v>16</v>
      </c>
      <c r="E153">
        <v>19</v>
      </c>
    </row>
    <row r="154" spans="4:5" x14ac:dyDescent="0.3">
      <c r="D154">
        <v>28</v>
      </c>
      <c r="E154">
        <v>22</v>
      </c>
    </row>
    <row r="155" spans="4:5" x14ac:dyDescent="0.3">
      <c r="D155">
        <v>28</v>
      </c>
      <c r="E155">
        <v>19</v>
      </c>
    </row>
    <row r="156" spans="4:5" x14ac:dyDescent="0.3">
      <c r="D156">
        <v>28</v>
      </c>
      <c r="E156">
        <v>21</v>
      </c>
    </row>
    <row r="157" spans="4:5" x14ac:dyDescent="0.3">
      <c r="D157">
        <v>25</v>
      </c>
      <c r="E157">
        <v>23</v>
      </c>
    </row>
    <row r="158" spans="4:5" x14ac:dyDescent="0.3">
      <c r="D158">
        <v>25</v>
      </c>
      <c r="E158">
        <v>13</v>
      </c>
    </row>
    <row r="159" spans="4:5" x14ac:dyDescent="0.3">
      <c r="D159">
        <v>10</v>
      </c>
      <c r="E159">
        <v>5</v>
      </c>
    </row>
    <row r="160" spans="4:5" x14ac:dyDescent="0.3">
      <c r="D160">
        <v>20</v>
      </c>
      <c r="E160">
        <v>19</v>
      </c>
    </row>
    <row r="161" spans="4:5" x14ac:dyDescent="0.3">
      <c r="D161">
        <v>25</v>
      </c>
      <c r="E161">
        <v>23</v>
      </c>
    </row>
    <row r="162" spans="4:5" x14ac:dyDescent="0.3">
      <c r="D162">
        <v>26</v>
      </c>
      <c r="E162">
        <v>23</v>
      </c>
    </row>
    <row r="163" spans="4:5" x14ac:dyDescent="0.3">
      <c r="D163">
        <v>28</v>
      </c>
      <c r="E163">
        <v>14</v>
      </c>
    </row>
    <row r="164" spans="4:5" x14ac:dyDescent="0.3">
      <c r="D164">
        <v>19</v>
      </c>
      <c r="E164">
        <v>20</v>
      </c>
    </row>
    <row r="165" spans="4:5" x14ac:dyDescent="0.3">
      <c r="D165">
        <v>20</v>
      </c>
      <c r="E165">
        <v>20</v>
      </c>
    </row>
    <row r="166" spans="4:5" x14ac:dyDescent="0.3">
      <c r="D166">
        <v>25</v>
      </c>
      <c r="E166">
        <v>25</v>
      </c>
    </row>
    <row r="167" spans="4:5" x14ac:dyDescent="0.3">
      <c r="D167">
        <v>27</v>
      </c>
      <c r="E167">
        <v>14</v>
      </c>
    </row>
    <row r="168" spans="4:5" x14ac:dyDescent="0.3">
      <c r="D168">
        <v>28</v>
      </c>
      <c r="E168">
        <v>20</v>
      </c>
    </row>
    <row r="169" spans="4:5" x14ac:dyDescent="0.3">
      <c r="D169">
        <v>25</v>
      </c>
      <c r="E169">
        <v>25</v>
      </c>
    </row>
    <row r="170" spans="4:5" x14ac:dyDescent="0.3">
      <c r="D170">
        <v>22</v>
      </c>
      <c r="E170">
        <v>21</v>
      </c>
    </row>
    <row r="171" spans="4:5" x14ac:dyDescent="0.3">
      <c r="D171">
        <v>28</v>
      </c>
      <c r="E171">
        <v>19</v>
      </c>
    </row>
    <row r="172" spans="4:5" x14ac:dyDescent="0.3">
      <c r="D172">
        <v>28</v>
      </c>
      <c r="E172">
        <v>16</v>
      </c>
    </row>
    <row r="173" spans="4:5" x14ac:dyDescent="0.3">
      <c r="D173">
        <v>26</v>
      </c>
      <c r="E173">
        <v>12</v>
      </c>
    </row>
    <row r="174" spans="4:5" x14ac:dyDescent="0.3">
      <c r="D174">
        <v>28</v>
      </c>
      <c r="E174">
        <v>10</v>
      </c>
    </row>
    <row r="175" spans="4:5" x14ac:dyDescent="0.3">
      <c r="D175">
        <v>19</v>
      </c>
      <c r="E175">
        <v>20</v>
      </c>
    </row>
    <row r="176" spans="4:5" x14ac:dyDescent="0.3">
      <c r="D176">
        <v>28</v>
      </c>
      <c r="E176">
        <v>25</v>
      </c>
    </row>
    <row r="177" spans="4:5" x14ac:dyDescent="0.3">
      <c r="D177">
        <v>27</v>
      </c>
      <c r="E177">
        <v>9</v>
      </c>
    </row>
    <row r="178" spans="4:5" x14ac:dyDescent="0.3">
      <c r="D178">
        <v>24</v>
      </c>
      <c r="E178">
        <v>19</v>
      </c>
    </row>
    <row r="179" spans="4:5" x14ac:dyDescent="0.3">
      <c r="D179">
        <v>28</v>
      </c>
      <c r="E179">
        <v>7</v>
      </c>
    </row>
    <row r="180" spans="4:5" x14ac:dyDescent="0.3">
      <c r="D180">
        <v>28</v>
      </c>
      <c r="E180">
        <v>23</v>
      </c>
    </row>
    <row r="181" spans="4:5" x14ac:dyDescent="0.3">
      <c r="D181">
        <v>28</v>
      </c>
      <c r="E181">
        <v>15</v>
      </c>
    </row>
    <row r="182" spans="4:5" x14ac:dyDescent="0.3">
      <c r="D182">
        <v>24</v>
      </c>
      <c r="E182">
        <v>20</v>
      </c>
    </row>
    <row r="183" spans="4:5" x14ac:dyDescent="0.3">
      <c r="D183">
        <v>28</v>
      </c>
      <c r="E183">
        <v>16</v>
      </c>
    </row>
    <row r="184" spans="4:5" x14ac:dyDescent="0.3">
      <c r="D184">
        <v>20</v>
      </c>
      <c r="E184">
        <v>14</v>
      </c>
    </row>
    <row r="185" spans="4:5" x14ac:dyDescent="0.3">
      <c r="D185">
        <v>22</v>
      </c>
      <c r="E185">
        <v>21</v>
      </c>
    </row>
    <row r="186" spans="4:5" x14ac:dyDescent="0.3">
      <c r="D186">
        <v>25</v>
      </c>
      <c r="E186">
        <v>18</v>
      </c>
    </row>
    <row r="187" spans="4:5" x14ac:dyDescent="0.3">
      <c r="D187">
        <v>22</v>
      </c>
      <c r="E187">
        <v>14</v>
      </c>
    </row>
    <row r="188" spans="4:5" x14ac:dyDescent="0.3">
      <c r="D188">
        <v>22</v>
      </c>
      <c r="E188">
        <v>19</v>
      </c>
    </row>
    <row r="189" spans="4:5" x14ac:dyDescent="0.3">
      <c r="D189">
        <v>28</v>
      </c>
      <c r="E189">
        <v>25</v>
      </c>
    </row>
    <row r="190" spans="4:5" x14ac:dyDescent="0.3">
      <c r="D190">
        <v>21</v>
      </c>
      <c r="E190">
        <v>13</v>
      </c>
    </row>
    <row r="191" spans="4:5" x14ac:dyDescent="0.3">
      <c r="D191">
        <v>28</v>
      </c>
      <c r="E191">
        <v>16</v>
      </c>
    </row>
    <row r="192" spans="4:5" x14ac:dyDescent="0.3">
      <c r="D192">
        <v>28</v>
      </c>
      <c r="E192">
        <v>25</v>
      </c>
    </row>
    <row r="193" spans="4:5" x14ac:dyDescent="0.3">
      <c r="D193">
        <v>28</v>
      </c>
      <c r="E193">
        <v>19</v>
      </c>
    </row>
    <row r="194" spans="4:5" x14ac:dyDescent="0.3">
      <c r="D194">
        <v>25</v>
      </c>
      <c r="E194">
        <v>21</v>
      </c>
    </row>
    <row r="195" spans="4:5" x14ac:dyDescent="0.3">
      <c r="D195">
        <v>22</v>
      </c>
      <c r="E195">
        <v>19</v>
      </c>
    </row>
    <row r="196" spans="4:5" x14ac:dyDescent="0.3">
      <c r="D196">
        <v>25</v>
      </c>
      <c r="E196">
        <v>20</v>
      </c>
    </row>
    <row r="197" spans="4:5" x14ac:dyDescent="0.3">
      <c r="D197">
        <v>16</v>
      </c>
      <c r="E197">
        <v>19</v>
      </c>
    </row>
    <row r="198" spans="4:5" x14ac:dyDescent="0.3">
      <c r="D198">
        <v>22</v>
      </c>
      <c r="E198">
        <v>26</v>
      </c>
    </row>
    <row r="199" spans="4:5" x14ac:dyDescent="0.3">
      <c r="D199">
        <v>25</v>
      </c>
      <c r="E199">
        <v>25</v>
      </c>
    </row>
    <row r="200" spans="4:5" x14ac:dyDescent="0.3">
      <c r="D200">
        <v>26</v>
      </c>
      <c r="E200">
        <v>20</v>
      </c>
    </row>
    <row r="201" spans="4:5" x14ac:dyDescent="0.3">
      <c r="D201">
        <v>23</v>
      </c>
      <c r="E201">
        <v>18</v>
      </c>
    </row>
    <row r="202" spans="4:5" x14ac:dyDescent="0.3">
      <c r="D202">
        <v>16</v>
      </c>
      <c r="E202">
        <v>27</v>
      </c>
    </row>
    <row r="203" spans="4:5" x14ac:dyDescent="0.3">
      <c r="D203">
        <v>25</v>
      </c>
      <c r="E203">
        <v>23</v>
      </c>
    </row>
    <row r="204" spans="4:5" x14ac:dyDescent="0.3">
      <c r="D204">
        <v>28</v>
      </c>
      <c r="E204">
        <v>19</v>
      </c>
    </row>
    <row r="205" spans="4:5" x14ac:dyDescent="0.3">
      <c r="D205">
        <v>14</v>
      </c>
      <c r="E205">
        <v>14</v>
      </c>
    </row>
    <row r="206" spans="4:5" x14ac:dyDescent="0.3">
      <c r="D206">
        <v>27</v>
      </c>
      <c r="E206">
        <v>16</v>
      </c>
    </row>
    <row r="207" spans="4:5" x14ac:dyDescent="0.3">
      <c r="D207">
        <v>21</v>
      </c>
      <c r="E207">
        <v>24</v>
      </c>
    </row>
    <row r="208" spans="4:5" x14ac:dyDescent="0.3">
      <c r="D208">
        <v>27</v>
      </c>
      <c r="E208">
        <v>16</v>
      </c>
    </row>
    <row r="209" spans="4:5" x14ac:dyDescent="0.3">
      <c r="D209">
        <v>26</v>
      </c>
      <c r="E209">
        <v>23</v>
      </c>
    </row>
    <row r="210" spans="4:5" x14ac:dyDescent="0.3">
      <c r="D210">
        <v>22</v>
      </c>
      <c r="E210">
        <v>20</v>
      </c>
    </row>
    <row r="211" spans="4:5" x14ac:dyDescent="0.3">
      <c r="D211">
        <v>25</v>
      </c>
      <c r="E211">
        <v>14</v>
      </c>
    </row>
    <row r="212" spans="4:5" x14ac:dyDescent="0.3">
      <c r="D212">
        <v>28</v>
      </c>
      <c r="E212">
        <v>15</v>
      </c>
    </row>
    <row r="213" spans="4:5" x14ac:dyDescent="0.3">
      <c r="D213">
        <v>27</v>
      </c>
      <c r="E213">
        <v>25</v>
      </c>
    </row>
    <row r="214" spans="4:5" x14ac:dyDescent="0.3">
      <c r="D214">
        <v>28</v>
      </c>
      <c r="E214">
        <v>21</v>
      </c>
    </row>
    <row r="215" spans="4:5" x14ac:dyDescent="0.3">
      <c r="D215">
        <v>25</v>
      </c>
      <c r="E215">
        <v>22</v>
      </c>
    </row>
    <row r="216" spans="4:5" x14ac:dyDescent="0.3">
      <c r="D216">
        <v>21</v>
      </c>
      <c r="E216">
        <v>16</v>
      </c>
    </row>
    <row r="217" spans="4:5" x14ac:dyDescent="0.3">
      <c r="D217">
        <v>28</v>
      </c>
      <c r="E217">
        <v>15</v>
      </c>
    </row>
    <row r="218" spans="4:5" x14ac:dyDescent="0.3">
      <c r="D218">
        <v>28</v>
      </c>
      <c r="E218">
        <v>25</v>
      </c>
    </row>
    <row r="219" spans="4:5" x14ac:dyDescent="0.3">
      <c r="D219">
        <v>27</v>
      </c>
      <c r="E219">
        <v>27</v>
      </c>
    </row>
    <row r="220" spans="4:5" x14ac:dyDescent="0.3">
      <c r="D220">
        <v>28</v>
      </c>
      <c r="E220">
        <v>28</v>
      </c>
    </row>
    <row r="221" spans="4:5" x14ac:dyDescent="0.3">
      <c r="D221">
        <v>28</v>
      </c>
      <c r="E221">
        <v>21</v>
      </c>
    </row>
    <row r="222" spans="4:5" x14ac:dyDescent="0.3">
      <c r="D222">
        <v>19</v>
      </c>
      <c r="E222">
        <v>24</v>
      </c>
    </row>
    <row r="223" spans="4:5" x14ac:dyDescent="0.3">
      <c r="D223">
        <v>21</v>
      </c>
      <c r="E223">
        <v>19</v>
      </c>
    </row>
    <row r="224" spans="4:5" x14ac:dyDescent="0.3">
      <c r="D224">
        <v>24</v>
      </c>
      <c r="E224">
        <v>18</v>
      </c>
    </row>
    <row r="225" spans="4:5" x14ac:dyDescent="0.3">
      <c r="D225">
        <v>25</v>
      </c>
      <c r="E225">
        <v>18</v>
      </c>
    </row>
    <row r="226" spans="4:5" x14ac:dyDescent="0.3">
      <c r="D226">
        <v>7</v>
      </c>
      <c r="E226">
        <v>10</v>
      </c>
    </row>
    <row r="227" spans="4:5" x14ac:dyDescent="0.3">
      <c r="D227">
        <v>26</v>
      </c>
      <c r="E227">
        <v>28</v>
      </c>
    </row>
    <row r="228" spans="4:5" x14ac:dyDescent="0.3">
      <c r="D228">
        <v>18</v>
      </c>
      <c r="E228">
        <v>13</v>
      </c>
    </row>
    <row r="229" spans="4:5" x14ac:dyDescent="0.3">
      <c r="D229">
        <v>23</v>
      </c>
      <c r="E229">
        <v>6</v>
      </c>
    </row>
    <row r="230" spans="4:5" x14ac:dyDescent="0.3">
      <c r="D230">
        <v>25</v>
      </c>
      <c r="E230">
        <v>13</v>
      </c>
    </row>
    <row r="231" spans="4:5" x14ac:dyDescent="0.3">
      <c r="D231">
        <v>17</v>
      </c>
      <c r="E231">
        <v>15</v>
      </c>
    </row>
    <row r="232" spans="4:5" x14ac:dyDescent="0.3">
      <c r="D232">
        <v>28</v>
      </c>
      <c r="E232">
        <v>17</v>
      </c>
    </row>
    <row r="233" spans="4:5" x14ac:dyDescent="0.3">
      <c r="D233">
        <v>25</v>
      </c>
      <c r="E233">
        <v>19</v>
      </c>
    </row>
    <row r="234" spans="4:5" x14ac:dyDescent="0.3">
      <c r="D234">
        <v>27</v>
      </c>
      <c r="E234">
        <v>20</v>
      </c>
    </row>
    <row r="235" spans="4:5" x14ac:dyDescent="0.3">
      <c r="D235">
        <v>28</v>
      </c>
      <c r="E235">
        <v>10</v>
      </c>
    </row>
    <row r="236" spans="4:5" x14ac:dyDescent="0.3">
      <c r="D236">
        <v>28</v>
      </c>
      <c r="E236">
        <v>19</v>
      </c>
    </row>
    <row r="237" spans="4:5" x14ac:dyDescent="0.3">
      <c r="D237">
        <v>26</v>
      </c>
      <c r="E237">
        <v>13</v>
      </c>
    </row>
    <row r="238" spans="4:5" x14ac:dyDescent="0.3">
      <c r="D238">
        <v>23</v>
      </c>
      <c r="E238">
        <v>14</v>
      </c>
    </row>
    <row r="239" spans="4:5" x14ac:dyDescent="0.3">
      <c r="D239">
        <v>26</v>
      </c>
      <c r="E239">
        <v>20</v>
      </c>
    </row>
    <row r="240" spans="4:5" x14ac:dyDescent="0.3">
      <c r="D240">
        <v>25</v>
      </c>
      <c r="E240">
        <v>15</v>
      </c>
    </row>
    <row r="241" spans="4:5" x14ac:dyDescent="0.3">
      <c r="D241">
        <v>22</v>
      </c>
      <c r="E241">
        <v>14</v>
      </c>
    </row>
    <row r="242" spans="4:5" x14ac:dyDescent="0.3">
      <c r="D242">
        <v>28</v>
      </c>
      <c r="E242">
        <v>26</v>
      </c>
    </row>
    <row r="243" spans="4:5" x14ac:dyDescent="0.3">
      <c r="D243">
        <v>28</v>
      </c>
      <c r="E243">
        <v>20</v>
      </c>
    </row>
    <row r="244" spans="4:5" x14ac:dyDescent="0.3">
      <c r="D244">
        <v>24</v>
      </c>
      <c r="E244">
        <v>21</v>
      </c>
    </row>
    <row r="245" spans="4:5" x14ac:dyDescent="0.3">
      <c r="D245">
        <v>28</v>
      </c>
      <c r="E245">
        <v>20</v>
      </c>
    </row>
    <row r="246" spans="4:5" x14ac:dyDescent="0.3">
      <c r="D246">
        <v>28</v>
      </c>
      <c r="E246">
        <v>15</v>
      </c>
    </row>
    <row r="247" spans="4:5" x14ac:dyDescent="0.3">
      <c r="D247">
        <v>28</v>
      </c>
      <c r="E247">
        <v>24</v>
      </c>
    </row>
    <row r="248" spans="4:5" x14ac:dyDescent="0.3">
      <c r="D248">
        <v>17</v>
      </c>
      <c r="E248">
        <v>26</v>
      </c>
    </row>
    <row r="249" spans="4:5" x14ac:dyDescent="0.3">
      <c r="D249">
        <v>27</v>
      </c>
      <c r="E249">
        <v>24</v>
      </c>
    </row>
    <row r="250" spans="4:5" x14ac:dyDescent="0.3">
      <c r="D250">
        <v>22</v>
      </c>
      <c r="E250">
        <v>25</v>
      </c>
    </row>
    <row r="251" spans="4:5" x14ac:dyDescent="0.3">
      <c r="D251">
        <v>28</v>
      </c>
      <c r="E251">
        <v>10</v>
      </c>
    </row>
    <row r="252" spans="4:5" x14ac:dyDescent="0.3">
      <c r="D252">
        <v>28</v>
      </c>
      <c r="E252">
        <v>24</v>
      </c>
    </row>
    <row r="253" spans="4:5" x14ac:dyDescent="0.3">
      <c r="D253">
        <v>13</v>
      </c>
      <c r="E253">
        <v>27</v>
      </c>
    </row>
    <row r="254" spans="4:5" x14ac:dyDescent="0.3">
      <c r="D254">
        <v>28</v>
      </c>
      <c r="E254">
        <v>19</v>
      </c>
    </row>
    <row r="255" spans="4:5" x14ac:dyDescent="0.3">
      <c r="D255">
        <v>28</v>
      </c>
      <c r="E255">
        <v>24</v>
      </c>
    </row>
    <row r="256" spans="4:5" x14ac:dyDescent="0.3">
      <c r="D256">
        <v>19</v>
      </c>
      <c r="E256">
        <v>8</v>
      </c>
    </row>
    <row r="257" spans="4:5" x14ac:dyDescent="0.3">
      <c r="D257">
        <v>27</v>
      </c>
      <c r="E257">
        <v>22</v>
      </c>
    </row>
    <row r="258" spans="4:5" x14ac:dyDescent="0.3">
      <c r="D258">
        <v>28</v>
      </c>
      <c r="E258">
        <v>17</v>
      </c>
    </row>
    <row r="259" spans="4:5" x14ac:dyDescent="0.3">
      <c r="D259">
        <v>28</v>
      </c>
      <c r="E259">
        <v>16</v>
      </c>
    </row>
    <row r="260" spans="4:5" x14ac:dyDescent="0.3">
      <c r="D260">
        <v>23</v>
      </c>
      <c r="E260">
        <v>9</v>
      </c>
    </row>
    <row r="261" spans="4:5" x14ac:dyDescent="0.3">
      <c r="D261">
        <v>28</v>
      </c>
      <c r="E261">
        <v>18</v>
      </c>
    </row>
    <row r="262" spans="4:5" x14ac:dyDescent="0.3">
      <c r="D262">
        <v>27</v>
      </c>
      <c r="E262">
        <v>20</v>
      </c>
    </row>
    <row r="263" spans="4:5" x14ac:dyDescent="0.3">
      <c r="D263">
        <v>28</v>
      </c>
      <c r="E263">
        <v>19</v>
      </c>
    </row>
    <row r="264" spans="4:5" x14ac:dyDescent="0.3">
      <c r="D264">
        <v>24</v>
      </c>
      <c r="E264">
        <v>19</v>
      </c>
    </row>
    <row r="265" spans="4:5" x14ac:dyDescent="0.3">
      <c r="D265">
        <v>28</v>
      </c>
      <c r="E265">
        <v>13</v>
      </c>
    </row>
    <row r="266" spans="4:5" x14ac:dyDescent="0.3">
      <c r="D266">
        <v>26</v>
      </c>
      <c r="E266">
        <v>22</v>
      </c>
    </row>
    <row r="267" spans="4:5" x14ac:dyDescent="0.3">
      <c r="D267">
        <v>17</v>
      </c>
      <c r="E267">
        <v>17</v>
      </c>
    </row>
    <row r="268" spans="4:5" x14ac:dyDescent="0.3">
      <c r="D268">
        <v>23</v>
      </c>
      <c r="E268">
        <v>18</v>
      </c>
    </row>
    <row r="269" spans="4:5" x14ac:dyDescent="0.3">
      <c r="D269">
        <v>28</v>
      </c>
      <c r="E269">
        <v>25</v>
      </c>
    </row>
    <row r="270" spans="4:5" x14ac:dyDescent="0.3">
      <c r="D270">
        <v>24</v>
      </c>
      <c r="E270">
        <v>22</v>
      </c>
    </row>
    <row r="271" spans="4:5" x14ac:dyDescent="0.3">
      <c r="D271">
        <v>26</v>
      </c>
      <c r="E271">
        <v>17</v>
      </c>
    </row>
    <row r="272" spans="4:5" x14ac:dyDescent="0.3">
      <c r="D272">
        <v>28</v>
      </c>
      <c r="E272">
        <v>22</v>
      </c>
    </row>
    <row r="273" spans="4:5" x14ac:dyDescent="0.3">
      <c r="D273">
        <v>28</v>
      </c>
      <c r="E273">
        <v>20</v>
      </c>
    </row>
    <row r="274" spans="4:5" x14ac:dyDescent="0.3">
      <c r="D274">
        <v>23</v>
      </c>
      <c r="E274">
        <v>19</v>
      </c>
    </row>
    <row r="275" spans="4:5" x14ac:dyDescent="0.3">
      <c r="D275">
        <v>25</v>
      </c>
      <c r="E275">
        <v>23</v>
      </c>
    </row>
    <row r="276" spans="4:5" x14ac:dyDescent="0.3">
      <c r="D276">
        <v>25</v>
      </c>
      <c r="E276">
        <v>19</v>
      </c>
    </row>
    <row r="277" spans="4:5" x14ac:dyDescent="0.3">
      <c r="D277">
        <v>28</v>
      </c>
      <c r="E277">
        <v>18</v>
      </c>
    </row>
    <row r="278" spans="4:5" x14ac:dyDescent="0.3">
      <c r="D278">
        <v>20</v>
      </c>
      <c r="E278">
        <v>12</v>
      </c>
    </row>
    <row r="279" spans="4:5" x14ac:dyDescent="0.3">
      <c r="D279">
        <v>28</v>
      </c>
      <c r="E279">
        <v>20</v>
      </c>
    </row>
    <row r="280" spans="4:5" x14ac:dyDescent="0.3">
      <c r="D280">
        <v>23</v>
      </c>
      <c r="E280">
        <v>19</v>
      </c>
    </row>
    <row r="281" spans="4:5" x14ac:dyDescent="0.3">
      <c r="D281">
        <v>28</v>
      </c>
      <c r="E281">
        <v>9</v>
      </c>
    </row>
    <row r="282" spans="4:5" x14ac:dyDescent="0.3">
      <c r="D282">
        <v>17</v>
      </c>
      <c r="E282">
        <v>16</v>
      </c>
    </row>
    <row r="283" spans="4:5" x14ac:dyDescent="0.3">
      <c r="D283">
        <v>25</v>
      </c>
      <c r="E283">
        <v>16</v>
      </c>
    </row>
    <row r="284" spans="4:5" x14ac:dyDescent="0.3">
      <c r="D284">
        <v>28</v>
      </c>
      <c r="E284">
        <v>13</v>
      </c>
    </row>
    <row r="285" spans="4:5" x14ac:dyDescent="0.3">
      <c r="D285">
        <v>27</v>
      </c>
      <c r="E285">
        <v>13</v>
      </c>
    </row>
    <row r="286" spans="4:5" x14ac:dyDescent="0.3">
      <c r="D286">
        <v>27</v>
      </c>
      <c r="E286">
        <v>22</v>
      </c>
    </row>
    <row r="287" spans="4:5" x14ac:dyDescent="0.3">
      <c r="D287">
        <v>23</v>
      </c>
      <c r="E287">
        <v>22</v>
      </c>
    </row>
    <row r="288" spans="4:5" x14ac:dyDescent="0.3">
      <c r="D288">
        <v>18</v>
      </c>
      <c r="E288">
        <v>20</v>
      </c>
    </row>
    <row r="289" spans="4:5" x14ac:dyDescent="0.3">
      <c r="D289">
        <v>18</v>
      </c>
      <c r="E289">
        <v>26</v>
      </c>
    </row>
    <row r="290" spans="4:5" x14ac:dyDescent="0.3">
      <c r="D290">
        <v>22</v>
      </c>
      <c r="E290">
        <v>20</v>
      </c>
    </row>
    <row r="291" spans="4:5" x14ac:dyDescent="0.3">
      <c r="D291">
        <v>19</v>
      </c>
      <c r="E291">
        <v>11</v>
      </c>
    </row>
    <row r="292" spans="4:5" x14ac:dyDescent="0.3">
      <c r="D292">
        <v>26</v>
      </c>
      <c r="E292">
        <v>4</v>
      </c>
    </row>
    <row r="293" spans="4:5" x14ac:dyDescent="0.3">
      <c r="D293">
        <v>20</v>
      </c>
      <c r="E293">
        <v>22</v>
      </c>
    </row>
    <row r="294" spans="4:5" x14ac:dyDescent="0.3">
      <c r="D294">
        <v>24</v>
      </c>
      <c r="E294">
        <v>21</v>
      </c>
    </row>
    <row r="295" spans="4:5" x14ac:dyDescent="0.3">
      <c r="D295">
        <v>26</v>
      </c>
      <c r="E295">
        <v>25</v>
      </c>
    </row>
    <row r="296" spans="4:5" x14ac:dyDescent="0.3">
      <c r="D296">
        <v>28</v>
      </c>
      <c r="E296">
        <v>24</v>
      </c>
    </row>
    <row r="297" spans="4:5" x14ac:dyDescent="0.3">
      <c r="D297">
        <v>17</v>
      </c>
      <c r="E297">
        <v>12</v>
      </c>
    </row>
    <row r="298" spans="4:5" x14ac:dyDescent="0.3">
      <c r="D298">
        <v>22</v>
      </c>
      <c r="E298">
        <v>20</v>
      </c>
    </row>
    <row r="299" spans="4:5" x14ac:dyDescent="0.3">
      <c r="D299">
        <v>23</v>
      </c>
      <c r="E299">
        <v>17</v>
      </c>
    </row>
    <row r="300" spans="4:5" x14ac:dyDescent="0.3">
      <c r="D300">
        <v>26</v>
      </c>
      <c r="E300">
        <v>22</v>
      </c>
    </row>
    <row r="301" spans="4:5" x14ac:dyDescent="0.3">
      <c r="D301">
        <v>24</v>
      </c>
      <c r="E301">
        <v>8</v>
      </c>
    </row>
    <row r="302" spans="4:5" x14ac:dyDescent="0.3">
      <c r="D302">
        <v>23</v>
      </c>
      <c r="E302">
        <v>10</v>
      </c>
    </row>
    <row r="303" spans="4:5" x14ac:dyDescent="0.3">
      <c r="D303">
        <v>18</v>
      </c>
      <c r="E303">
        <v>20</v>
      </c>
    </row>
    <row r="304" spans="4:5" x14ac:dyDescent="0.3">
      <c r="D304">
        <v>28</v>
      </c>
      <c r="E304">
        <v>22</v>
      </c>
    </row>
    <row r="305" spans="4:5" x14ac:dyDescent="0.3">
      <c r="D305">
        <v>25</v>
      </c>
      <c r="E305">
        <v>23</v>
      </c>
    </row>
    <row r="306" spans="4:5" x14ac:dyDescent="0.3">
      <c r="D306">
        <v>22</v>
      </c>
      <c r="E306">
        <v>19</v>
      </c>
    </row>
    <row r="307" spans="4:5" x14ac:dyDescent="0.3">
      <c r="D307">
        <v>22</v>
      </c>
      <c r="E307">
        <v>7</v>
      </c>
    </row>
    <row r="308" spans="4:5" x14ac:dyDescent="0.3">
      <c r="D308">
        <v>26</v>
      </c>
      <c r="E308">
        <v>9</v>
      </c>
    </row>
    <row r="309" spans="4:5" x14ac:dyDescent="0.3">
      <c r="D309">
        <v>25</v>
      </c>
      <c r="E309">
        <v>19</v>
      </c>
    </row>
    <row r="310" spans="4:5" x14ac:dyDescent="0.3">
      <c r="D310">
        <v>28</v>
      </c>
      <c r="E310">
        <v>25</v>
      </c>
    </row>
    <row r="311" spans="4:5" x14ac:dyDescent="0.3">
      <c r="D311">
        <v>24</v>
      </c>
      <c r="E311">
        <v>20</v>
      </c>
    </row>
    <row r="312" spans="4:5" x14ac:dyDescent="0.3">
      <c r="D312">
        <v>28</v>
      </c>
      <c r="E312">
        <v>20</v>
      </c>
    </row>
    <row r="313" spans="4:5" x14ac:dyDescent="0.3">
      <c r="D313">
        <v>19</v>
      </c>
      <c r="E313">
        <v>21</v>
      </c>
    </row>
    <row r="314" spans="4:5" x14ac:dyDescent="0.3">
      <c r="D314">
        <v>18</v>
      </c>
      <c r="E314">
        <v>14</v>
      </c>
    </row>
    <row r="315" spans="4:5" x14ac:dyDescent="0.3">
      <c r="D315">
        <v>24</v>
      </c>
      <c r="E315">
        <v>20</v>
      </c>
    </row>
    <row r="316" spans="4:5" x14ac:dyDescent="0.3">
      <c r="D316">
        <v>16</v>
      </c>
      <c r="E316">
        <v>17</v>
      </c>
    </row>
    <row r="317" spans="4:5" x14ac:dyDescent="0.3">
      <c r="D317">
        <v>26</v>
      </c>
      <c r="E317">
        <v>18</v>
      </c>
    </row>
    <row r="318" spans="4:5" x14ac:dyDescent="0.3">
      <c r="D318">
        <v>23</v>
      </c>
      <c r="E318">
        <v>22</v>
      </c>
    </row>
    <row r="319" spans="4:5" x14ac:dyDescent="0.3">
      <c r="D319">
        <v>28</v>
      </c>
      <c r="E319">
        <v>18</v>
      </c>
    </row>
    <row r="320" spans="4:5" x14ac:dyDescent="0.3">
      <c r="D320">
        <v>22</v>
      </c>
      <c r="E320">
        <v>22</v>
      </c>
    </row>
    <row r="321" spans="4:5" x14ac:dyDescent="0.3">
      <c r="D321">
        <v>27</v>
      </c>
      <c r="E321">
        <v>19</v>
      </c>
    </row>
    <row r="322" spans="4:5" x14ac:dyDescent="0.3">
      <c r="D322">
        <v>25</v>
      </c>
      <c r="E322">
        <v>23</v>
      </c>
    </row>
    <row r="323" spans="4:5" x14ac:dyDescent="0.3">
      <c r="D323">
        <v>28</v>
      </c>
      <c r="E323">
        <v>21</v>
      </c>
    </row>
    <row r="324" spans="4:5" x14ac:dyDescent="0.3">
      <c r="D324">
        <v>26</v>
      </c>
      <c r="E324">
        <v>18</v>
      </c>
    </row>
    <row r="325" spans="4:5" x14ac:dyDescent="0.3">
      <c r="D325">
        <v>21</v>
      </c>
      <c r="E325">
        <v>27</v>
      </c>
    </row>
    <row r="326" spans="4:5" x14ac:dyDescent="0.3">
      <c r="D326">
        <v>25</v>
      </c>
      <c r="E326">
        <v>17</v>
      </c>
    </row>
    <row r="327" spans="4:5" x14ac:dyDescent="0.3">
      <c r="D327">
        <v>28</v>
      </c>
      <c r="E327">
        <v>25</v>
      </c>
    </row>
    <row r="328" spans="4:5" x14ac:dyDescent="0.3">
      <c r="D328">
        <v>28</v>
      </c>
      <c r="E328">
        <v>20</v>
      </c>
    </row>
    <row r="329" spans="4:5" x14ac:dyDescent="0.3">
      <c r="D329">
        <v>28</v>
      </c>
      <c r="E329">
        <v>12</v>
      </c>
    </row>
    <row r="330" spans="4:5" x14ac:dyDescent="0.3">
      <c r="D330">
        <v>27</v>
      </c>
      <c r="E330">
        <v>11</v>
      </c>
    </row>
    <row r="331" spans="4:5" x14ac:dyDescent="0.3">
      <c r="D331">
        <v>22</v>
      </c>
      <c r="E331">
        <v>23</v>
      </c>
    </row>
    <row r="332" spans="4:5" x14ac:dyDescent="0.3">
      <c r="D332">
        <v>20</v>
      </c>
      <c r="E332">
        <v>14</v>
      </c>
    </row>
    <row r="333" spans="4:5" x14ac:dyDescent="0.3">
      <c r="D333">
        <v>28</v>
      </c>
      <c r="E333">
        <v>20</v>
      </c>
    </row>
    <row r="334" spans="4:5" x14ac:dyDescent="0.3">
      <c r="D334">
        <v>10</v>
      </c>
      <c r="E334">
        <v>12</v>
      </c>
    </row>
    <row r="335" spans="4:5" x14ac:dyDescent="0.3">
      <c r="D335">
        <v>22</v>
      </c>
      <c r="E335">
        <v>12</v>
      </c>
    </row>
    <row r="336" spans="4:5" x14ac:dyDescent="0.3">
      <c r="D336">
        <v>26</v>
      </c>
      <c r="E336">
        <v>21</v>
      </c>
    </row>
    <row r="337" spans="4:5" x14ac:dyDescent="0.3">
      <c r="D337">
        <v>25</v>
      </c>
      <c r="E337">
        <v>16</v>
      </c>
    </row>
    <row r="338" spans="4:5" x14ac:dyDescent="0.3">
      <c r="D338">
        <v>16</v>
      </c>
      <c r="E338">
        <v>13</v>
      </c>
    </row>
    <row r="339" spans="4:5" x14ac:dyDescent="0.3">
      <c r="D339">
        <v>27</v>
      </c>
      <c r="E339">
        <v>18</v>
      </c>
    </row>
    <row r="340" spans="4:5" x14ac:dyDescent="0.3">
      <c r="D340">
        <v>21</v>
      </c>
      <c r="E340">
        <v>19</v>
      </c>
    </row>
    <row r="341" spans="4:5" x14ac:dyDescent="0.3">
      <c r="D341">
        <v>26</v>
      </c>
      <c r="E341">
        <v>17</v>
      </c>
    </row>
    <row r="342" spans="4:5" x14ac:dyDescent="0.3">
      <c r="D342">
        <v>27</v>
      </c>
      <c r="E342">
        <v>15</v>
      </c>
    </row>
    <row r="343" spans="4:5" x14ac:dyDescent="0.3">
      <c r="D343">
        <v>19</v>
      </c>
      <c r="E343">
        <v>24</v>
      </c>
    </row>
    <row r="344" spans="4:5" x14ac:dyDescent="0.3">
      <c r="D344">
        <v>27</v>
      </c>
      <c r="E344">
        <v>12</v>
      </c>
    </row>
    <row r="345" spans="4:5" x14ac:dyDescent="0.3">
      <c r="D345">
        <v>27</v>
      </c>
      <c r="E345">
        <v>18</v>
      </c>
    </row>
    <row r="346" spans="4:5" x14ac:dyDescent="0.3">
      <c r="D346">
        <v>28</v>
      </c>
      <c r="E346">
        <v>26</v>
      </c>
    </row>
    <row r="347" spans="4:5" x14ac:dyDescent="0.3">
      <c r="D347">
        <v>27</v>
      </c>
      <c r="E347">
        <v>14</v>
      </c>
    </row>
    <row r="348" spans="4:5" x14ac:dyDescent="0.3">
      <c r="D348">
        <v>22</v>
      </c>
      <c r="E348">
        <v>22</v>
      </c>
    </row>
    <row r="349" spans="4:5" x14ac:dyDescent="0.3">
      <c r="D349">
        <v>25</v>
      </c>
      <c r="E349">
        <v>22</v>
      </c>
    </row>
    <row r="350" spans="4:5" x14ac:dyDescent="0.3">
      <c r="D350">
        <v>26</v>
      </c>
      <c r="E350">
        <v>21</v>
      </c>
    </row>
    <row r="351" spans="4:5" x14ac:dyDescent="0.3">
      <c r="D351">
        <v>24</v>
      </c>
      <c r="E351">
        <v>5</v>
      </c>
    </row>
    <row r="352" spans="4:5" x14ac:dyDescent="0.3">
      <c r="D352">
        <v>25</v>
      </c>
      <c r="E352">
        <v>9</v>
      </c>
    </row>
    <row r="353" spans="4:5" x14ac:dyDescent="0.3">
      <c r="D353">
        <v>23</v>
      </c>
      <c r="E353">
        <v>18</v>
      </c>
    </row>
    <row r="354" spans="4:5" x14ac:dyDescent="0.3">
      <c r="D354">
        <v>25</v>
      </c>
      <c r="E354">
        <v>15</v>
      </c>
    </row>
    <row r="355" spans="4:5" x14ac:dyDescent="0.3">
      <c r="D355">
        <v>14</v>
      </c>
      <c r="E355">
        <v>16</v>
      </c>
    </row>
    <row r="356" spans="4:5" x14ac:dyDescent="0.3">
      <c r="D356">
        <v>27</v>
      </c>
      <c r="E356">
        <v>20</v>
      </c>
    </row>
    <row r="357" spans="4:5" x14ac:dyDescent="0.3">
      <c r="D357">
        <v>22</v>
      </c>
      <c r="E357">
        <v>28</v>
      </c>
    </row>
    <row r="358" spans="4:5" x14ac:dyDescent="0.3">
      <c r="D358">
        <v>26</v>
      </c>
      <c r="E358">
        <v>25</v>
      </c>
    </row>
    <row r="359" spans="4:5" x14ac:dyDescent="0.3">
      <c r="D359">
        <v>28</v>
      </c>
      <c r="E359">
        <v>23</v>
      </c>
    </row>
    <row r="360" spans="4:5" x14ac:dyDescent="0.3">
      <c r="D360">
        <v>20</v>
      </c>
      <c r="E360">
        <v>20</v>
      </c>
    </row>
    <row r="361" spans="4:5" x14ac:dyDescent="0.3">
      <c r="D361">
        <v>25</v>
      </c>
      <c r="E361">
        <v>18</v>
      </c>
    </row>
    <row r="362" spans="4:5" x14ac:dyDescent="0.3">
      <c r="D362">
        <v>24</v>
      </c>
      <c r="E362">
        <v>16</v>
      </c>
    </row>
    <row r="363" spans="4:5" x14ac:dyDescent="0.3">
      <c r="D363">
        <v>28</v>
      </c>
      <c r="E363">
        <v>27</v>
      </c>
    </row>
    <row r="364" spans="4:5" x14ac:dyDescent="0.3">
      <c r="D364">
        <v>28</v>
      </c>
      <c r="E364">
        <v>28</v>
      </c>
    </row>
    <row r="365" spans="4:5" x14ac:dyDescent="0.3">
      <c r="D365">
        <v>27</v>
      </c>
      <c r="E365">
        <v>20</v>
      </c>
    </row>
    <row r="366" spans="4:5" x14ac:dyDescent="0.3">
      <c r="D366">
        <v>25</v>
      </c>
      <c r="E366">
        <v>14</v>
      </c>
    </row>
    <row r="367" spans="4:5" x14ac:dyDescent="0.3">
      <c r="D367">
        <v>27</v>
      </c>
      <c r="E367">
        <v>25</v>
      </c>
    </row>
    <row r="368" spans="4:5" x14ac:dyDescent="0.3">
      <c r="D368">
        <v>16</v>
      </c>
      <c r="E368">
        <v>16</v>
      </c>
    </row>
    <row r="369" spans="4:5" x14ac:dyDescent="0.3">
      <c r="D369">
        <v>28</v>
      </c>
      <c r="E369">
        <v>28</v>
      </c>
    </row>
    <row r="370" spans="4:5" x14ac:dyDescent="0.3">
      <c r="D370">
        <v>25</v>
      </c>
      <c r="E370">
        <v>20</v>
      </c>
    </row>
    <row r="371" spans="4:5" x14ac:dyDescent="0.3">
      <c r="D371">
        <v>28</v>
      </c>
      <c r="E371">
        <v>23</v>
      </c>
    </row>
    <row r="372" spans="4:5" x14ac:dyDescent="0.3">
      <c r="D372">
        <v>28</v>
      </c>
      <c r="E372">
        <v>28</v>
      </c>
    </row>
    <row r="373" spans="4:5" x14ac:dyDescent="0.3">
      <c r="D373">
        <v>22</v>
      </c>
      <c r="E373">
        <v>21</v>
      </c>
    </row>
    <row r="374" spans="4:5" x14ac:dyDescent="0.3">
      <c r="D374">
        <v>25</v>
      </c>
      <c r="E374">
        <v>12</v>
      </c>
    </row>
    <row r="375" spans="4:5" x14ac:dyDescent="0.3">
      <c r="D375">
        <v>28</v>
      </c>
      <c r="E375">
        <v>18</v>
      </c>
    </row>
    <row r="376" spans="4:5" x14ac:dyDescent="0.3">
      <c r="D376">
        <v>25</v>
      </c>
      <c r="E376">
        <v>18</v>
      </c>
    </row>
    <row r="377" spans="4:5" x14ac:dyDescent="0.3">
      <c r="D377">
        <v>28</v>
      </c>
      <c r="E377">
        <v>13</v>
      </c>
    </row>
    <row r="378" spans="4:5" x14ac:dyDescent="0.3">
      <c r="D378">
        <v>28</v>
      </c>
      <c r="E378">
        <v>15</v>
      </c>
    </row>
    <row r="379" spans="4:5" x14ac:dyDescent="0.3">
      <c r="D379">
        <v>22</v>
      </c>
      <c r="E379">
        <v>17</v>
      </c>
    </row>
    <row r="380" spans="4:5" x14ac:dyDescent="0.3">
      <c r="D380">
        <v>21</v>
      </c>
      <c r="E380">
        <v>8</v>
      </c>
    </row>
    <row r="381" spans="4:5" x14ac:dyDescent="0.3">
      <c r="D381">
        <v>28</v>
      </c>
      <c r="E381">
        <v>17</v>
      </c>
    </row>
    <row r="382" spans="4:5" x14ac:dyDescent="0.3">
      <c r="D382">
        <v>28</v>
      </c>
      <c r="E382">
        <v>28</v>
      </c>
    </row>
    <row r="383" spans="4:5" x14ac:dyDescent="0.3">
      <c r="D383">
        <v>7</v>
      </c>
      <c r="E383">
        <v>22</v>
      </c>
    </row>
    <row r="384" spans="4:5" x14ac:dyDescent="0.3">
      <c r="D384">
        <v>18</v>
      </c>
      <c r="E384">
        <v>7</v>
      </c>
    </row>
    <row r="385" spans="4:5" x14ac:dyDescent="0.3">
      <c r="D385">
        <v>24</v>
      </c>
      <c r="E385">
        <v>19</v>
      </c>
    </row>
    <row r="386" spans="4:5" x14ac:dyDescent="0.3">
      <c r="D386">
        <v>23</v>
      </c>
      <c r="E386">
        <v>19</v>
      </c>
    </row>
    <row r="387" spans="4:5" x14ac:dyDescent="0.3">
      <c r="D387">
        <v>24</v>
      </c>
      <c r="E387">
        <v>10</v>
      </c>
    </row>
    <row r="388" spans="4:5" x14ac:dyDescent="0.3">
      <c r="D388">
        <v>19</v>
      </c>
      <c r="E388">
        <v>22</v>
      </c>
    </row>
    <row r="389" spans="4:5" x14ac:dyDescent="0.3">
      <c r="D389">
        <v>20</v>
      </c>
      <c r="E389">
        <v>16</v>
      </c>
    </row>
    <row r="390" spans="4:5" x14ac:dyDescent="0.3">
      <c r="D390">
        <v>25</v>
      </c>
      <c r="E390">
        <v>19</v>
      </c>
    </row>
    <row r="391" spans="4:5" x14ac:dyDescent="0.3">
      <c r="D391">
        <v>28</v>
      </c>
      <c r="E391">
        <v>25</v>
      </c>
    </row>
    <row r="392" spans="4:5" x14ac:dyDescent="0.3">
      <c r="D392">
        <v>22</v>
      </c>
      <c r="E392">
        <v>25</v>
      </c>
    </row>
    <row r="393" spans="4:5" x14ac:dyDescent="0.3">
      <c r="D393">
        <v>28</v>
      </c>
      <c r="E393">
        <v>23</v>
      </c>
    </row>
    <row r="394" spans="4:5" x14ac:dyDescent="0.3">
      <c r="D394">
        <v>28</v>
      </c>
      <c r="E394">
        <v>19</v>
      </c>
    </row>
    <row r="395" spans="4:5" x14ac:dyDescent="0.3">
      <c r="D395">
        <v>28</v>
      </c>
      <c r="E395">
        <v>26</v>
      </c>
    </row>
    <row r="396" spans="4:5" x14ac:dyDescent="0.3">
      <c r="D396">
        <v>25</v>
      </c>
      <c r="E396">
        <v>13</v>
      </c>
    </row>
    <row r="397" spans="4:5" x14ac:dyDescent="0.3">
      <c r="D397">
        <v>25</v>
      </c>
      <c r="E397">
        <v>23</v>
      </c>
    </row>
    <row r="398" spans="4:5" x14ac:dyDescent="0.3">
      <c r="D398">
        <v>16</v>
      </c>
      <c r="E398">
        <v>11</v>
      </c>
    </row>
    <row r="399" spans="4:5" x14ac:dyDescent="0.3">
      <c r="D399">
        <v>21</v>
      </c>
      <c r="E399">
        <v>19</v>
      </c>
    </row>
    <row r="400" spans="4:5" x14ac:dyDescent="0.3">
      <c r="D400">
        <v>26</v>
      </c>
      <c r="E400">
        <v>21</v>
      </c>
    </row>
    <row r="401" spans="4:5" x14ac:dyDescent="0.3">
      <c r="D401">
        <v>26</v>
      </c>
      <c r="E401">
        <v>25</v>
      </c>
    </row>
    <row r="402" spans="4:5" x14ac:dyDescent="0.3">
      <c r="D402">
        <v>26</v>
      </c>
      <c r="E402">
        <v>28</v>
      </c>
    </row>
    <row r="403" spans="4:5" x14ac:dyDescent="0.3">
      <c r="D403">
        <v>19</v>
      </c>
      <c r="E403">
        <v>19</v>
      </c>
    </row>
    <row r="404" spans="4:5" x14ac:dyDescent="0.3">
      <c r="D404">
        <v>27</v>
      </c>
      <c r="E404">
        <v>19</v>
      </c>
    </row>
    <row r="405" spans="4:5" x14ac:dyDescent="0.3">
      <c r="D405">
        <v>24</v>
      </c>
      <c r="E405">
        <v>19</v>
      </c>
    </row>
    <row r="406" spans="4:5" x14ac:dyDescent="0.3">
      <c r="D406">
        <v>22</v>
      </c>
      <c r="E406">
        <v>20</v>
      </c>
    </row>
    <row r="407" spans="4:5" x14ac:dyDescent="0.3">
      <c r="D407">
        <v>18</v>
      </c>
      <c r="E407">
        <v>11</v>
      </c>
    </row>
    <row r="408" spans="4:5" x14ac:dyDescent="0.3">
      <c r="D408">
        <v>18</v>
      </c>
      <c r="E408">
        <v>14</v>
      </c>
    </row>
    <row r="409" spans="4:5" x14ac:dyDescent="0.3">
      <c r="D409">
        <v>28</v>
      </c>
      <c r="E409">
        <v>23</v>
      </c>
    </row>
    <row r="410" spans="4:5" x14ac:dyDescent="0.3">
      <c r="D410">
        <v>22</v>
      </c>
      <c r="E410">
        <v>12</v>
      </c>
    </row>
    <row r="411" spans="4:5" x14ac:dyDescent="0.3">
      <c r="D411">
        <v>27</v>
      </c>
      <c r="E411">
        <v>9</v>
      </c>
    </row>
    <row r="412" spans="4:5" x14ac:dyDescent="0.3">
      <c r="D412">
        <v>28</v>
      </c>
      <c r="E412">
        <v>14</v>
      </c>
    </row>
    <row r="413" spans="4:5" x14ac:dyDescent="0.3">
      <c r="D413">
        <v>28</v>
      </c>
      <c r="E413">
        <v>5</v>
      </c>
    </row>
    <row r="414" spans="4:5" x14ac:dyDescent="0.3">
      <c r="D414">
        <v>18</v>
      </c>
      <c r="E414">
        <v>10</v>
      </c>
    </row>
    <row r="415" spans="4:5" x14ac:dyDescent="0.3">
      <c r="D415">
        <v>23</v>
      </c>
      <c r="E415">
        <v>19</v>
      </c>
    </row>
    <row r="416" spans="4:5" x14ac:dyDescent="0.3">
      <c r="D416">
        <v>20</v>
      </c>
      <c r="E416">
        <v>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RunzHedges">
          <controlPr defaultSize="0" autoLine="0" r:id="rId4">
            <anchor moveWithCells="1">
              <from>
                <xdr:col>0</xdr:col>
                <xdr:colOff>121920</xdr:colOff>
                <xdr:row>26</xdr:row>
                <xdr:rowOff>152400</xdr:rowOff>
              </from>
              <to>
                <xdr:col>1</xdr:col>
                <xdr:colOff>548640</xdr:colOff>
                <xdr:row>28</xdr:row>
                <xdr:rowOff>83820</xdr:rowOff>
              </to>
            </anchor>
          </controlPr>
        </control>
      </mc:Choice>
      <mc:Fallback>
        <control shapeId="3073" r:id="rId3" name="cmdRunzHed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E39C-D51A-46B1-88FC-F1B0F659112B}">
  <sheetPr codeName="Sheet6"/>
  <dimension ref="A1:E416"/>
  <sheetViews>
    <sheetView workbookViewId="0">
      <selection activeCell="I38" sqref="I38"/>
    </sheetView>
  </sheetViews>
  <sheetFormatPr defaultRowHeight="14.4" x14ac:dyDescent="0.3"/>
  <sheetData>
    <row r="1" spans="1:5" x14ac:dyDescent="0.3">
      <c r="A1" t="s">
        <v>85</v>
      </c>
      <c r="B1" t="s">
        <v>86</v>
      </c>
      <c r="C1" t="s">
        <v>87</v>
      </c>
      <c r="D1" t="s">
        <v>88</v>
      </c>
      <c r="E1" t="s">
        <v>89</v>
      </c>
    </row>
    <row r="2" spans="1:5" x14ac:dyDescent="0.3">
      <c r="A2">
        <v>21</v>
      </c>
      <c r="B2">
        <v>35</v>
      </c>
      <c r="C2">
        <v>21</v>
      </c>
      <c r="D2">
        <v>28</v>
      </c>
      <c r="E2">
        <v>11</v>
      </c>
    </row>
    <row r="3" spans="1:5" x14ac:dyDescent="0.3">
      <c r="A3">
        <v>21</v>
      </c>
      <c r="B3">
        <v>35</v>
      </c>
      <c r="C3">
        <v>19</v>
      </c>
      <c r="D3">
        <v>27</v>
      </c>
      <c r="E3">
        <v>12</v>
      </c>
    </row>
    <row r="4" spans="1:5" x14ac:dyDescent="0.3">
      <c r="A4">
        <v>6</v>
      </c>
      <c r="B4">
        <v>10</v>
      </c>
      <c r="C4">
        <v>6</v>
      </c>
      <c r="D4">
        <v>11</v>
      </c>
      <c r="E4">
        <v>18</v>
      </c>
    </row>
    <row r="5" spans="1:5" x14ac:dyDescent="0.3">
      <c r="A5">
        <v>18</v>
      </c>
      <c r="B5">
        <v>31</v>
      </c>
      <c r="C5">
        <v>20</v>
      </c>
      <c r="D5">
        <v>27</v>
      </c>
      <c r="E5">
        <v>24</v>
      </c>
    </row>
    <row r="6" spans="1:5" x14ac:dyDescent="0.3">
      <c r="A6">
        <v>18</v>
      </c>
      <c r="B6">
        <v>34</v>
      </c>
      <c r="C6">
        <v>18</v>
      </c>
      <c r="D6">
        <v>22</v>
      </c>
      <c r="E6">
        <v>16</v>
      </c>
    </row>
    <row r="7" spans="1:5" x14ac:dyDescent="0.3">
      <c r="A7">
        <v>21</v>
      </c>
      <c r="B7">
        <v>35</v>
      </c>
      <c r="C7">
        <v>21</v>
      </c>
      <c r="D7">
        <v>28</v>
      </c>
      <c r="E7">
        <v>20</v>
      </c>
    </row>
    <row r="8" spans="1:5" x14ac:dyDescent="0.3">
      <c r="A8">
        <v>19</v>
      </c>
      <c r="B8">
        <v>33</v>
      </c>
      <c r="C8">
        <v>17</v>
      </c>
      <c r="D8">
        <v>23</v>
      </c>
      <c r="E8">
        <v>16</v>
      </c>
    </row>
    <row r="9" spans="1:5" x14ac:dyDescent="0.3">
      <c r="A9">
        <v>21</v>
      </c>
      <c r="B9">
        <v>35</v>
      </c>
      <c r="C9">
        <v>15</v>
      </c>
      <c r="D9">
        <v>15</v>
      </c>
      <c r="E9">
        <v>26</v>
      </c>
    </row>
    <row r="10" spans="1:5" x14ac:dyDescent="0.3">
      <c r="A10">
        <v>21</v>
      </c>
      <c r="B10">
        <v>35</v>
      </c>
      <c r="C10">
        <v>21</v>
      </c>
      <c r="D10">
        <v>28</v>
      </c>
      <c r="E10">
        <v>12</v>
      </c>
    </row>
    <row r="11" spans="1:5" x14ac:dyDescent="0.3">
      <c r="A11">
        <v>16</v>
      </c>
      <c r="B11">
        <v>30</v>
      </c>
      <c r="C11">
        <v>18</v>
      </c>
      <c r="D11">
        <v>25</v>
      </c>
      <c r="E11">
        <v>20</v>
      </c>
    </row>
    <row r="12" spans="1:5" x14ac:dyDescent="0.3">
      <c r="A12">
        <v>21</v>
      </c>
      <c r="B12">
        <v>35</v>
      </c>
      <c r="C12">
        <v>21</v>
      </c>
      <c r="D12">
        <v>28</v>
      </c>
      <c r="E12">
        <v>10</v>
      </c>
    </row>
    <row r="13" spans="1:5" x14ac:dyDescent="0.3">
      <c r="A13">
        <v>19</v>
      </c>
      <c r="B13">
        <v>34</v>
      </c>
      <c r="C13">
        <v>20</v>
      </c>
      <c r="D13">
        <v>28</v>
      </c>
      <c r="E13">
        <v>27</v>
      </c>
    </row>
    <row r="14" spans="1:5" x14ac:dyDescent="0.3">
      <c r="A14">
        <v>20</v>
      </c>
      <c r="B14">
        <v>35</v>
      </c>
      <c r="C14">
        <v>18</v>
      </c>
      <c r="D14">
        <v>18</v>
      </c>
      <c r="E14">
        <v>17</v>
      </c>
    </row>
    <row r="15" spans="1:5" x14ac:dyDescent="0.3">
      <c r="A15">
        <v>21</v>
      </c>
      <c r="B15">
        <v>35</v>
      </c>
      <c r="C15">
        <v>18</v>
      </c>
      <c r="D15">
        <v>28</v>
      </c>
      <c r="E15">
        <v>19</v>
      </c>
    </row>
    <row r="16" spans="1:5" x14ac:dyDescent="0.3">
      <c r="A16">
        <v>21</v>
      </c>
      <c r="B16">
        <v>35</v>
      </c>
      <c r="C16">
        <v>21</v>
      </c>
      <c r="D16">
        <v>15</v>
      </c>
      <c r="E16">
        <v>22</v>
      </c>
    </row>
    <row r="17" spans="1:5" x14ac:dyDescent="0.3">
      <c r="A17">
        <v>21</v>
      </c>
      <c r="B17">
        <v>35</v>
      </c>
      <c r="C17">
        <v>20</v>
      </c>
      <c r="D17">
        <v>27</v>
      </c>
      <c r="E17">
        <v>24</v>
      </c>
    </row>
    <row r="18" spans="1:5" x14ac:dyDescent="0.3">
      <c r="A18">
        <v>21</v>
      </c>
      <c r="B18">
        <v>35</v>
      </c>
      <c r="C18">
        <v>18</v>
      </c>
      <c r="D18">
        <v>17</v>
      </c>
      <c r="E18">
        <v>24</v>
      </c>
    </row>
    <row r="19" spans="1:5" x14ac:dyDescent="0.3">
      <c r="A19">
        <v>21</v>
      </c>
      <c r="B19">
        <v>35</v>
      </c>
      <c r="C19">
        <v>21</v>
      </c>
      <c r="D19">
        <v>28</v>
      </c>
      <c r="E19">
        <v>27</v>
      </c>
    </row>
    <row r="20" spans="1:5" x14ac:dyDescent="0.3">
      <c r="A20">
        <v>21</v>
      </c>
      <c r="B20">
        <v>35</v>
      </c>
      <c r="C20">
        <v>21</v>
      </c>
      <c r="D20">
        <v>22</v>
      </c>
      <c r="E20">
        <v>20</v>
      </c>
    </row>
    <row r="21" spans="1:5" x14ac:dyDescent="0.3">
      <c r="A21">
        <v>21</v>
      </c>
      <c r="B21">
        <v>35</v>
      </c>
      <c r="C21">
        <v>18</v>
      </c>
      <c r="D21">
        <v>26</v>
      </c>
      <c r="E21">
        <v>24</v>
      </c>
    </row>
    <row r="22" spans="1:5" x14ac:dyDescent="0.3">
      <c r="A22">
        <v>18</v>
      </c>
      <c r="B22">
        <v>35</v>
      </c>
      <c r="C22">
        <v>21</v>
      </c>
      <c r="D22">
        <v>28</v>
      </c>
      <c r="E22">
        <v>9</v>
      </c>
    </row>
    <row r="23" spans="1:5" x14ac:dyDescent="0.3">
      <c r="A23">
        <v>21</v>
      </c>
      <c r="B23">
        <v>35</v>
      </c>
      <c r="C23">
        <v>21</v>
      </c>
      <c r="D23">
        <v>22</v>
      </c>
      <c r="E23">
        <v>22</v>
      </c>
    </row>
    <row r="24" spans="1:5" x14ac:dyDescent="0.3">
      <c r="A24">
        <v>15</v>
      </c>
      <c r="B24">
        <v>29</v>
      </c>
      <c r="C24">
        <v>19</v>
      </c>
      <c r="D24">
        <v>23</v>
      </c>
      <c r="E24">
        <v>23</v>
      </c>
    </row>
    <row r="25" spans="1:5" x14ac:dyDescent="0.3">
      <c r="A25">
        <v>5</v>
      </c>
      <c r="B25">
        <v>5</v>
      </c>
      <c r="C25">
        <v>5</v>
      </c>
      <c r="D25">
        <v>7</v>
      </c>
      <c r="E25">
        <v>15</v>
      </c>
    </row>
    <row r="26" spans="1:5" x14ac:dyDescent="0.3">
      <c r="A26">
        <v>21</v>
      </c>
      <c r="B26">
        <v>35</v>
      </c>
      <c r="C26">
        <v>21</v>
      </c>
      <c r="D26">
        <v>28</v>
      </c>
      <c r="E26">
        <v>27</v>
      </c>
    </row>
    <row r="27" spans="1:5" x14ac:dyDescent="0.3">
      <c r="A27">
        <v>21</v>
      </c>
      <c r="B27">
        <v>35</v>
      </c>
      <c r="C27">
        <v>21</v>
      </c>
      <c r="D27">
        <v>28</v>
      </c>
      <c r="E27">
        <v>22</v>
      </c>
    </row>
    <row r="28" spans="1:5" x14ac:dyDescent="0.3">
      <c r="A28">
        <v>9</v>
      </c>
      <c r="B28">
        <v>15</v>
      </c>
      <c r="C28">
        <v>10</v>
      </c>
      <c r="D28">
        <v>19</v>
      </c>
      <c r="E28">
        <v>15</v>
      </c>
    </row>
    <row r="29" spans="1:5" x14ac:dyDescent="0.3">
      <c r="A29">
        <v>21</v>
      </c>
      <c r="B29">
        <v>30</v>
      </c>
      <c r="C29">
        <v>20</v>
      </c>
      <c r="D29">
        <v>21</v>
      </c>
      <c r="E29">
        <v>19</v>
      </c>
    </row>
    <row r="30" spans="1:5" x14ac:dyDescent="0.3">
      <c r="A30">
        <v>21</v>
      </c>
      <c r="B30">
        <v>35</v>
      </c>
      <c r="C30">
        <v>20</v>
      </c>
      <c r="D30">
        <v>26</v>
      </c>
      <c r="E30">
        <v>25</v>
      </c>
    </row>
    <row r="31" spans="1:5" x14ac:dyDescent="0.3">
      <c r="A31">
        <v>21</v>
      </c>
      <c r="B31">
        <v>35</v>
      </c>
      <c r="C31">
        <v>21</v>
      </c>
      <c r="D31">
        <v>28</v>
      </c>
      <c r="E31">
        <v>26</v>
      </c>
    </row>
    <row r="32" spans="1:5" x14ac:dyDescent="0.3">
      <c r="A32">
        <v>21</v>
      </c>
      <c r="B32">
        <v>35</v>
      </c>
      <c r="C32">
        <v>21</v>
      </c>
      <c r="D32">
        <v>28</v>
      </c>
      <c r="E32">
        <v>24</v>
      </c>
    </row>
    <row r="33" spans="1:5" x14ac:dyDescent="0.3">
      <c r="A33">
        <v>20</v>
      </c>
      <c r="B33">
        <v>32</v>
      </c>
      <c r="C33">
        <v>19</v>
      </c>
      <c r="D33">
        <v>27</v>
      </c>
      <c r="E33">
        <v>24</v>
      </c>
    </row>
    <row r="34" spans="1:5" x14ac:dyDescent="0.3">
      <c r="A34">
        <v>21</v>
      </c>
      <c r="B34">
        <v>35</v>
      </c>
      <c r="C34">
        <v>21</v>
      </c>
      <c r="D34">
        <v>24</v>
      </c>
      <c r="E34">
        <v>23</v>
      </c>
    </row>
    <row r="35" spans="1:5" x14ac:dyDescent="0.3">
      <c r="A35">
        <v>21</v>
      </c>
      <c r="B35">
        <v>35</v>
      </c>
      <c r="C35">
        <v>21</v>
      </c>
      <c r="D35">
        <v>22</v>
      </c>
      <c r="E35">
        <v>17</v>
      </c>
    </row>
    <row r="36" spans="1:5" x14ac:dyDescent="0.3">
      <c r="A36">
        <v>21</v>
      </c>
      <c r="B36">
        <v>35</v>
      </c>
      <c r="C36">
        <v>21</v>
      </c>
      <c r="D36">
        <v>22</v>
      </c>
      <c r="E36">
        <v>20</v>
      </c>
    </row>
    <row r="37" spans="1:5" x14ac:dyDescent="0.3">
      <c r="A37">
        <v>21</v>
      </c>
      <c r="B37">
        <v>35</v>
      </c>
      <c r="C37">
        <v>21</v>
      </c>
      <c r="D37">
        <v>28</v>
      </c>
      <c r="E37">
        <v>19</v>
      </c>
    </row>
    <row r="38" spans="1:5" x14ac:dyDescent="0.3">
      <c r="A38">
        <v>16</v>
      </c>
      <c r="B38">
        <v>24</v>
      </c>
      <c r="C38">
        <v>15</v>
      </c>
      <c r="D38">
        <v>21</v>
      </c>
      <c r="E38">
        <v>22</v>
      </c>
    </row>
    <row r="39" spans="1:5" x14ac:dyDescent="0.3">
      <c r="A39">
        <v>3</v>
      </c>
      <c r="B39">
        <v>5</v>
      </c>
      <c r="C39">
        <v>3</v>
      </c>
      <c r="D39">
        <v>5</v>
      </c>
      <c r="E39">
        <v>19</v>
      </c>
    </row>
    <row r="40" spans="1:5" x14ac:dyDescent="0.3">
      <c r="A40">
        <v>21</v>
      </c>
      <c r="B40">
        <v>35</v>
      </c>
      <c r="C40">
        <v>21</v>
      </c>
      <c r="D40">
        <v>26</v>
      </c>
      <c r="E40">
        <v>17</v>
      </c>
    </row>
    <row r="41" spans="1:5" x14ac:dyDescent="0.3">
      <c r="A41">
        <v>21</v>
      </c>
      <c r="B41">
        <v>35</v>
      </c>
      <c r="C41">
        <v>21</v>
      </c>
      <c r="D41">
        <v>28</v>
      </c>
      <c r="E41">
        <v>22</v>
      </c>
    </row>
    <row r="42" spans="1:5" x14ac:dyDescent="0.3">
      <c r="A42">
        <v>21</v>
      </c>
      <c r="B42">
        <v>35</v>
      </c>
      <c r="C42">
        <v>21</v>
      </c>
      <c r="D42">
        <v>28</v>
      </c>
      <c r="E42">
        <v>26</v>
      </c>
    </row>
    <row r="43" spans="1:5" x14ac:dyDescent="0.3">
      <c r="A43">
        <v>19</v>
      </c>
      <c r="B43">
        <v>33</v>
      </c>
      <c r="C43">
        <v>21</v>
      </c>
      <c r="D43">
        <v>24</v>
      </c>
      <c r="E43">
        <v>4</v>
      </c>
    </row>
    <row r="44" spans="1:5" x14ac:dyDescent="0.3">
      <c r="A44">
        <v>21</v>
      </c>
      <c r="B44">
        <v>35</v>
      </c>
      <c r="C44">
        <v>18</v>
      </c>
      <c r="D44">
        <v>28</v>
      </c>
      <c r="E44">
        <v>25</v>
      </c>
    </row>
    <row r="45" spans="1:5" x14ac:dyDescent="0.3">
      <c r="A45">
        <v>18</v>
      </c>
      <c r="B45">
        <v>31</v>
      </c>
      <c r="C45">
        <v>20</v>
      </c>
      <c r="D45">
        <v>27</v>
      </c>
      <c r="E45">
        <v>27</v>
      </c>
    </row>
    <row r="46" spans="1:5" x14ac:dyDescent="0.3">
      <c r="A46">
        <v>21</v>
      </c>
      <c r="B46">
        <v>35</v>
      </c>
      <c r="C46">
        <v>19</v>
      </c>
      <c r="D46">
        <v>28</v>
      </c>
      <c r="E46">
        <v>20</v>
      </c>
    </row>
    <row r="47" spans="1:5" x14ac:dyDescent="0.3">
      <c r="A47">
        <v>16</v>
      </c>
      <c r="B47">
        <v>20</v>
      </c>
      <c r="C47">
        <v>12</v>
      </c>
      <c r="D47">
        <v>16</v>
      </c>
      <c r="E47">
        <v>12</v>
      </c>
    </row>
    <row r="48" spans="1:5" x14ac:dyDescent="0.3">
      <c r="A48">
        <v>21</v>
      </c>
      <c r="B48">
        <v>35</v>
      </c>
      <c r="C48">
        <v>19</v>
      </c>
      <c r="D48">
        <v>27</v>
      </c>
      <c r="E48">
        <v>25</v>
      </c>
    </row>
    <row r="49" spans="1:5" x14ac:dyDescent="0.3">
      <c r="A49">
        <v>21</v>
      </c>
      <c r="B49">
        <v>35</v>
      </c>
      <c r="C49">
        <v>21</v>
      </c>
      <c r="D49">
        <v>28</v>
      </c>
      <c r="E49">
        <v>28</v>
      </c>
    </row>
    <row r="50" spans="1:5" x14ac:dyDescent="0.3">
      <c r="A50">
        <v>21</v>
      </c>
      <c r="B50">
        <v>35</v>
      </c>
      <c r="C50">
        <v>21</v>
      </c>
      <c r="D50">
        <v>22</v>
      </c>
      <c r="E50">
        <v>17</v>
      </c>
    </row>
    <row r="51" spans="1:5" x14ac:dyDescent="0.3">
      <c r="A51">
        <v>21</v>
      </c>
      <c r="B51">
        <v>35</v>
      </c>
      <c r="C51">
        <v>21</v>
      </c>
      <c r="D51">
        <v>28</v>
      </c>
      <c r="E51">
        <v>19</v>
      </c>
    </row>
    <row r="52" spans="1:5" x14ac:dyDescent="0.3">
      <c r="A52">
        <v>12</v>
      </c>
      <c r="B52">
        <v>21</v>
      </c>
      <c r="C52">
        <v>10</v>
      </c>
      <c r="D52">
        <v>12</v>
      </c>
      <c r="E52">
        <v>15</v>
      </c>
    </row>
    <row r="53" spans="1:5" x14ac:dyDescent="0.3">
      <c r="A53">
        <v>21</v>
      </c>
      <c r="B53">
        <v>35</v>
      </c>
      <c r="C53">
        <v>21</v>
      </c>
      <c r="D53">
        <v>28</v>
      </c>
      <c r="E53">
        <v>22</v>
      </c>
    </row>
    <row r="54" spans="1:5" x14ac:dyDescent="0.3">
      <c r="A54">
        <v>21</v>
      </c>
      <c r="B54">
        <v>35</v>
      </c>
      <c r="C54">
        <v>21</v>
      </c>
      <c r="D54">
        <v>28</v>
      </c>
      <c r="E54">
        <v>21</v>
      </c>
    </row>
    <row r="55" spans="1:5" x14ac:dyDescent="0.3">
      <c r="A55">
        <v>21</v>
      </c>
      <c r="B55">
        <v>35</v>
      </c>
      <c r="C55">
        <v>21</v>
      </c>
      <c r="D55">
        <v>28</v>
      </c>
      <c r="E55">
        <v>28</v>
      </c>
    </row>
    <row r="56" spans="1:5" x14ac:dyDescent="0.3">
      <c r="A56">
        <v>21</v>
      </c>
      <c r="B56">
        <v>35</v>
      </c>
      <c r="C56">
        <v>21</v>
      </c>
      <c r="D56">
        <v>28</v>
      </c>
      <c r="E56">
        <v>28</v>
      </c>
    </row>
    <row r="57" spans="1:5" x14ac:dyDescent="0.3">
      <c r="A57">
        <v>21</v>
      </c>
      <c r="B57">
        <v>35</v>
      </c>
      <c r="C57">
        <v>21</v>
      </c>
      <c r="D57">
        <v>28</v>
      </c>
      <c r="E57">
        <v>23</v>
      </c>
    </row>
    <row r="58" spans="1:5" x14ac:dyDescent="0.3">
      <c r="A58">
        <v>18</v>
      </c>
      <c r="B58">
        <v>30</v>
      </c>
      <c r="C58">
        <v>21</v>
      </c>
      <c r="D58">
        <v>28</v>
      </c>
      <c r="E58">
        <v>12</v>
      </c>
    </row>
    <row r="59" spans="1:5" x14ac:dyDescent="0.3">
      <c r="A59">
        <v>16</v>
      </c>
      <c r="B59">
        <v>29</v>
      </c>
      <c r="C59">
        <v>15</v>
      </c>
      <c r="D59">
        <v>21</v>
      </c>
      <c r="E59">
        <v>18</v>
      </c>
    </row>
    <row r="60" spans="1:5" x14ac:dyDescent="0.3">
      <c r="A60">
        <v>21</v>
      </c>
      <c r="B60">
        <v>35</v>
      </c>
      <c r="C60">
        <v>21</v>
      </c>
      <c r="D60">
        <v>28</v>
      </c>
      <c r="E60">
        <v>16</v>
      </c>
    </row>
    <row r="61" spans="1:5" x14ac:dyDescent="0.3">
      <c r="A61">
        <v>12</v>
      </c>
      <c r="B61">
        <v>15</v>
      </c>
      <c r="C61">
        <v>8</v>
      </c>
      <c r="D61">
        <v>13</v>
      </c>
      <c r="E61">
        <v>18</v>
      </c>
    </row>
    <row r="62" spans="1:5" x14ac:dyDescent="0.3">
      <c r="A62">
        <v>15</v>
      </c>
      <c r="B62">
        <v>25</v>
      </c>
      <c r="C62">
        <v>15</v>
      </c>
      <c r="D62">
        <v>17</v>
      </c>
      <c r="E62">
        <v>5</v>
      </c>
    </row>
    <row r="63" spans="1:5" x14ac:dyDescent="0.3">
      <c r="A63">
        <v>19</v>
      </c>
      <c r="B63">
        <v>31</v>
      </c>
      <c r="C63">
        <v>18</v>
      </c>
      <c r="D63">
        <v>22</v>
      </c>
      <c r="E63">
        <v>18</v>
      </c>
    </row>
    <row r="64" spans="1:5" x14ac:dyDescent="0.3">
      <c r="A64">
        <v>15</v>
      </c>
      <c r="B64">
        <v>20</v>
      </c>
      <c r="C64">
        <v>18</v>
      </c>
      <c r="D64">
        <v>20</v>
      </c>
      <c r="E64">
        <v>18</v>
      </c>
    </row>
    <row r="65" spans="1:5" x14ac:dyDescent="0.3">
      <c r="A65">
        <v>20</v>
      </c>
      <c r="B65">
        <v>34</v>
      </c>
      <c r="C65">
        <v>21</v>
      </c>
      <c r="D65">
        <v>25</v>
      </c>
      <c r="E65">
        <v>14</v>
      </c>
    </row>
    <row r="66" spans="1:5" x14ac:dyDescent="0.3">
      <c r="A66">
        <v>21</v>
      </c>
      <c r="B66">
        <v>35</v>
      </c>
      <c r="C66">
        <v>21</v>
      </c>
      <c r="D66">
        <v>26</v>
      </c>
      <c r="E66">
        <v>19</v>
      </c>
    </row>
    <row r="67" spans="1:5" x14ac:dyDescent="0.3">
      <c r="A67">
        <v>21</v>
      </c>
      <c r="B67">
        <v>35</v>
      </c>
      <c r="C67">
        <v>21</v>
      </c>
      <c r="D67">
        <v>28</v>
      </c>
      <c r="E67">
        <v>28</v>
      </c>
    </row>
    <row r="68" spans="1:5" x14ac:dyDescent="0.3">
      <c r="A68">
        <v>21</v>
      </c>
      <c r="B68">
        <v>35</v>
      </c>
      <c r="C68">
        <v>21</v>
      </c>
      <c r="D68">
        <v>27</v>
      </c>
      <c r="E68">
        <v>22</v>
      </c>
    </row>
    <row r="69" spans="1:5" x14ac:dyDescent="0.3">
      <c r="A69">
        <v>21</v>
      </c>
      <c r="B69">
        <v>35</v>
      </c>
      <c r="C69">
        <v>18</v>
      </c>
      <c r="D69">
        <v>23</v>
      </c>
      <c r="E69">
        <v>14</v>
      </c>
    </row>
    <row r="70" spans="1:5" x14ac:dyDescent="0.3">
      <c r="A70">
        <v>21</v>
      </c>
      <c r="B70">
        <v>35</v>
      </c>
      <c r="C70">
        <v>21</v>
      </c>
      <c r="D70">
        <v>22</v>
      </c>
      <c r="E70">
        <v>10</v>
      </c>
    </row>
    <row r="71" spans="1:5" x14ac:dyDescent="0.3">
      <c r="A71">
        <v>21</v>
      </c>
      <c r="B71">
        <v>35</v>
      </c>
      <c r="C71">
        <v>20</v>
      </c>
      <c r="D71">
        <v>22</v>
      </c>
      <c r="E71">
        <v>16</v>
      </c>
    </row>
    <row r="72" spans="1:5" x14ac:dyDescent="0.3">
      <c r="A72">
        <v>21</v>
      </c>
      <c r="B72">
        <v>35</v>
      </c>
      <c r="C72">
        <v>21</v>
      </c>
      <c r="D72">
        <v>27</v>
      </c>
      <c r="E72">
        <v>9</v>
      </c>
    </row>
    <row r="73" spans="1:5" x14ac:dyDescent="0.3">
      <c r="A73">
        <v>21</v>
      </c>
      <c r="B73">
        <v>35</v>
      </c>
      <c r="C73">
        <v>18</v>
      </c>
      <c r="D73">
        <v>22</v>
      </c>
      <c r="E73">
        <v>21</v>
      </c>
    </row>
    <row r="74" spans="1:5" x14ac:dyDescent="0.3">
      <c r="A74">
        <v>10</v>
      </c>
      <c r="B74">
        <v>17</v>
      </c>
      <c r="C74">
        <v>15</v>
      </c>
      <c r="D74">
        <v>23</v>
      </c>
      <c r="E74">
        <v>9</v>
      </c>
    </row>
    <row r="75" spans="1:5" x14ac:dyDescent="0.3">
      <c r="A75">
        <v>21</v>
      </c>
      <c r="B75">
        <v>35</v>
      </c>
      <c r="C75">
        <v>19</v>
      </c>
      <c r="D75">
        <v>25</v>
      </c>
      <c r="E75">
        <v>20</v>
      </c>
    </row>
    <row r="76" spans="1:5" x14ac:dyDescent="0.3">
      <c r="A76">
        <v>18</v>
      </c>
      <c r="B76">
        <v>32</v>
      </c>
      <c r="C76">
        <v>18</v>
      </c>
      <c r="D76">
        <v>26</v>
      </c>
      <c r="E76">
        <v>26</v>
      </c>
    </row>
    <row r="77" spans="1:5" x14ac:dyDescent="0.3">
      <c r="A77">
        <v>21</v>
      </c>
      <c r="B77">
        <v>35</v>
      </c>
      <c r="C77">
        <v>19</v>
      </c>
      <c r="D77">
        <v>21</v>
      </c>
      <c r="E77">
        <v>21</v>
      </c>
    </row>
    <row r="78" spans="1:5" x14ac:dyDescent="0.3">
      <c r="A78">
        <v>21</v>
      </c>
      <c r="B78">
        <v>35</v>
      </c>
      <c r="C78">
        <v>21</v>
      </c>
      <c r="D78">
        <v>28</v>
      </c>
      <c r="E78">
        <v>11</v>
      </c>
    </row>
    <row r="79" spans="1:5" x14ac:dyDescent="0.3">
      <c r="A79">
        <v>18</v>
      </c>
      <c r="B79">
        <v>35</v>
      </c>
      <c r="C79">
        <v>18</v>
      </c>
      <c r="D79">
        <v>27</v>
      </c>
      <c r="E79">
        <v>20</v>
      </c>
    </row>
    <row r="80" spans="1:5" x14ac:dyDescent="0.3">
      <c r="A80">
        <v>18</v>
      </c>
      <c r="B80">
        <v>35</v>
      </c>
      <c r="C80">
        <v>21</v>
      </c>
      <c r="D80">
        <v>20</v>
      </c>
      <c r="E80">
        <v>21</v>
      </c>
    </row>
    <row r="81" spans="1:5" x14ac:dyDescent="0.3">
      <c r="A81">
        <v>21</v>
      </c>
      <c r="B81">
        <v>35</v>
      </c>
      <c r="C81">
        <v>21</v>
      </c>
      <c r="D81">
        <v>26</v>
      </c>
      <c r="E81">
        <v>22</v>
      </c>
    </row>
    <row r="82" spans="1:5" x14ac:dyDescent="0.3">
      <c r="A82">
        <v>21</v>
      </c>
      <c r="B82">
        <v>35</v>
      </c>
      <c r="C82">
        <v>21</v>
      </c>
      <c r="D82">
        <v>28</v>
      </c>
      <c r="E82">
        <v>27</v>
      </c>
    </row>
    <row r="83" spans="1:5" x14ac:dyDescent="0.3">
      <c r="A83">
        <v>21</v>
      </c>
      <c r="B83">
        <v>35</v>
      </c>
      <c r="C83">
        <v>21</v>
      </c>
      <c r="D83">
        <v>22</v>
      </c>
      <c r="E83">
        <v>17</v>
      </c>
    </row>
    <row r="84" spans="1:5" x14ac:dyDescent="0.3">
      <c r="A84">
        <v>16</v>
      </c>
      <c r="B84">
        <v>25</v>
      </c>
      <c r="C84">
        <v>14</v>
      </c>
      <c r="D84">
        <v>18</v>
      </c>
      <c r="E84">
        <v>25</v>
      </c>
    </row>
    <row r="85" spans="1:5" x14ac:dyDescent="0.3">
      <c r="A85">
        <v>21</v>
      </c>
      <c r="B85">
        <v>35</v>
      </c>
      <c r="C85">
        <v>21</v>
      </c>
      <c r="D85">
        <v>28</v>
      </c>
      <c r="E85">
        <v>18</v>
      </c>
    </row>
    <row r="86" spans="1:5" x14ac:dyDescent="0.3">
      <c r="A86">
        <v>17</v>
      </c>
      <c r="B86">
        <v>31</v>
      </c>
      <c r="C86">
        <v>18</v>
      </c>
      <c r="D86">
        <v>20</v>
      </c>
      <c r="E86">
        <v>9</v>
      </c>
    </row>
    <row r="87" spans="1:5" x14ac:dyDescent="0.3">
      <c r="A87">
        <v>18</v>
      </c>
      <c r="B87">
        <v>28</v>
      </c>
      <c r="C87">
        <v>17</v>
      </c>
      <c r="D87">
        <v>20</v>
      </c>
      <c r="E87">
        <v>17</v>
      </c>
    </row>
    <row r="88" spans="1:5" x14ac:dyDescent="0.3">
      <c r="A88">
        <v>15</v>
      </c>
      <c r="B88">
        <v>29</v>
      </c>
      <c r="C88">
        <v>18</v>
      </c>
      <c r="D88">
        <v>19</v>
      </c>
      <c r="E88">
        <v>16</v>
      </c>
    </row>
    <row r="89" spans="1:5" x14ac:dyDescent="0.3">
      <c r="A89">
        <v>18</v>
      </c>
      <c r="B89">
        <v>30</v>
      </c>
      <c r="C89">
        <v>18</v>
      </c>
      <c r="D89">
        <v>25</v>
      </c>
      <c r="E89">
        <v>9</v>
      </c>
    </row>
    <row r="90" spans="1:5" x14ac:dyDescent="0.3">
      <c r="A90">
        <v>19</v>
      </c>
      <c r="B90">
        <v>34</v>
      </c>
      <c r="C90">
        <v>19</v>
      </c>
      <c r="D90">
        <v>21</v>
      </c>
      <c r="E90">
        <v>22</v>
      </c>
    </row>
    <row r="91" spans="1:5" x14ac:dyDescent="0.3">
      <c r="A91">
        <v>18</v>
      </c>
      <c r="B91">
        <v>32</v>
      </c>
      <c r="C91">
        <v>21</v>
      </c>
      <c r="D91">
        <v>28</v>
      </c>
      <c r="E91">
        <v>4</v>
      </c>
    </row>
    <row r="92" spans="1:5" x14ac:dyDescent="0.3">
      <c r="A92">
        <v>21</v>
      </c>
      <c r="B92">
        <v>35</v>
      </c>
      <c r="C92">
        <v>21</v>
      </c>
      <c r="D92">
        <v>28</v>
      </c>
      <c r="E92">
        <v>23</v>
      </c>
    </row>
    <row r="93" spans="1:5" x14ac:dyDescent="0.3">
      <c r="A93">
        <v>9</v>
      </c>
      <c r="B93">
        <v>10</v>
      </c>
      <c r="C93">
        <v>6</v>
      </c>
      <c r="D93">
        <v>5</v>
      </c>
      <c r="E93">
        <v>13</v>
      </c>
    </row>
    <row r="94" spans="1:5" x14ac:dyDescent="0.3">
      <c r="A94">
        <v>18</v>
      </c>
      <c r="B94">
        <v>30</v>
      </c>
      <c r="C94">
        <v>18</v>
      </c>
      <c r="D94">
        <v>24</v>
      </c>
      <c r="E94">
        <v>13</v>
      </c>
    </row>
    <row r="95" spans="1:5" x14ac:dyDescent="0.3">
      <c r="A95">
        <v>21</v>
      </c>
      <c r="B95">
        <v>35</v>
      </c>
      <c r="C95">
        <v>21</v>
      </c>
      <c r="D95">
        <v>28</v>
      </c>
      <c r="E95">
        <v>21</v>
      </c>
    </row>
    <row r="96" spans="1:5" x14ac:dyDescent="0.3">
      <c r="A96">
        <v>20</v>
      </c>
      <c r="B96">
        <v>35</v>
      </c>
      <c r="C96">
        <v>18</v>
      </c>
      <c r="D96">
        <v>26</v>
      </c>
      <c r="E96">
        <v>25</v>
      </c>
    </row>
    <row r="97" spans="1:5" x14ac:dyDescent="0.3">
      <c r="A97">
        <v>6</v>
      </c>
      <c r="B97">
        <v>8</v>
      </c>
      <c r="C97">
        <v>3</v>
      </c>
      <c r="D97">
        <v>4</v>
      </c>
      <c r="E97">
        <v>11</v>
      </c>
    </row>
    <row r="98" spans="1:5" x14ac:dyDescent="0.3">
      <c r="A98">
        <v>21</v>
      </c>
      <c r="B98">
        <v>35</v>
      </c>
      <c r="C98">
        <v>18</v>
      </c>
      <c r="D98">
        <v>25</v>
      </c>
      <c r="E98">
        <v>20</v>
      </c>
    </row>
    <row r="99" spans="1:5" x14ac:dyDescent="0.3">
      <c r="A99">
        <v>21</v>
      </c>
      <c r="B99">
        <v>35</v>
      </c>
      <c r="C99">
        <v>21</v>
      </c>
      <c r="D99">
        <v>28</v>
      </c>
      <c r="E99">
        <v>18</v>
      </c>
    </row>
    <row r="100" spans="1:5" x14ac:dyDescent="0.3">
      <c r="A100">
        <v>21</v>
      </c>
      <c r="B100">
        <v>35</v>
      </c>
      <c r="C100">
        <v>21</v>
      </c>
      <c r="D100">
        <v>28</v>
      </c>
      <c r="E100">
        <v>22</v>
      </c>
    </row>
    <row r="101" spans="1:5" x14ac:dyDescent="0.3">
      <c r="A101">
        <v>21</v>
      </c>
      <c r="B101">
        <v>35</v>
      </c>
      <c r="C101">
        <v>15</v>
      </c>
      <c r="D101">
        <v>23</v>
      </c>
      <c r="E101">
        <v>12</v>
      </c>
    </row>
    <row r="102" spans="1:5" x14ac:dyDescent="0.3">
      <c r="A102">
        <v>21</v>
      </c>
      <c r="B102">
        <v>35</v>
      </c>
      <c r="C102">
        <v>21</v>
      </c>
      <c r="D102">
        <v>28</v>
      </c>
      <c r="E102">
        <v>24</v>
      </c>
    </row>
    <row r="103" spans="1:5" x14ac:dyDescent="0.3">
      <c r="A103">
        <v>21</v>
      </c>
      <c r="B103">
        <v>35</v>
      </c>
      <c r="C103">
        <v>21</v>
      </c>
      <c r="D103">
        <v>28</v>
      </c>
      <c r="E103">
        <v>23</v>
      </c>
    </row>
    <row r="104" spans="1:5" x14ac:dyDescent="0.3">
      <c r="A104">
        <v>21</v>
      </c>
      <c r="B104">
        <v>35</v>
      </c>
      <c r="C104">
        <v>21</v>
      </c>
      <c r="D104">
        <v>26</v>
      </c>
      <c r="E104">
        <v>27</v>
      </c>
    </row>
    <row r="105" spans="1:5" x14ac:dyDescent="0.3">
      <c r="A105">
        <v>20</v>
      </c>
      <c r="B105">
        <v>32</v>
      </c>
      <c r="C105">
        <v>19</v>
      </c>
      <c r="D105">
        <v>27</v>
      </c>
      <c r="E105">
        <v>23</v>
      </c>
    </row>
    <row r="106" spans="1:5" x14ac:dyDescent="0.3">
      <c r="A106">
        <v>21</v>
      </c>
      <c r="B106">
        <v>35</v>
      </c>
      <c r="C106">
        <v>21</v>
      </c>
      <c r="D106">
        <v>28</v>
      </c>
      <c r="E106">
        <v>23</v>
      </c>
    </row>
    <row r="107" spans="1:5" x14ac:dyDescent="0.3">
      <c r="A107">
        <v>18</v>
      </c>
      <c r="B107">
        <v>30</v>
      </c>
      <c r="C107">
        <v>17</v>
      </c>
      <c r="D107">
        <v>18</v>
      </c>
      <c r="E107">
        <v>15</v>
      </c>
    </row>
    <row r="108" spans="1:5" x14ac:dyDescent="0.3">
      <c r="A108">
        <v>12</v>
      </c>
      <c r="B108">
        <v>26</v>
      </c>
      <c r="C108">
        <v>17</v>
      </c>
      <c r="D108">
        <v>25</v>
      </c>
      <c r="E108">
        <v>17</v>
      </c>
    </row>
    <row r="109" spans="1:5" x14ac:dyDescent="0.3">
      <c r="A109">
        <v>18</v>
      </c>
      <c r="B109">
        <v>34</v>
      </c>
      <c r="C109">
        <v>18</v>
      </c>
      <c r="D109">
        <v>23</v>
      </c>
      <c r="E109">
        <v>16</v>
      </c>
    </row>
    <row r="110" spans="1:5" x14ac:dyDescent="0.3">
      <c r="A110">
        <v>21</v>
      </c>
      <c r="B110">
        <v>35</v>
      </c>
      <c r="C110">
        <v>21</v>
      </c>
      <c r="D110">
        <v>28</v>
      </c>
      <c r="E110">
        <v>8</v>
      </c>
    </row>
    <row r="111" spans="1:5" x14ac:dyDescent="0.3">
      <c r="A111">
        <v>19</v>
      </c>
      <c r="B111">
        <v>35</v>
      </c>
      <c r="C111">
        <v>16</v>
      </c>
      <c r="D111">
        <v>24</v>
      </c>
      <c r="E111">
        <v>16</v>
      </c>
    </row>
    <row r="112" spans="1:5" x14ac:dyDescent="0.3">
      <c r="A112">
        <v>15</v>
      </c>
      <c r="B112">
        <v>24</v>
      </c>
      <c r="C112">
        <v>12</v>
      </c>
      <c r="D112">
        <v>16</v>
      </c>
      <c r="E112">
        <v>16</v>
      </c>
    </row>
    <row r="113" spans="1:5" x14ac:dyDescent="0.3">
      <c r="A113">
        <v>18</v>
      </c>
      <c r="B113">
        <v>35</v>
      </c>
      <c r="C113">
        <v>17</v>
      </c>
      <c r="D113">
        <v>19</v>
      </c>
      <c r="E113">
        <v>17</v>
      </c>
    </row>
    <row r="114" spans="1:5" x14ac:dyDescent="0.3">
      <c r="A114">
        <v>19</v>
      </c>
      <c r="B114">
        <v>31</v>
      </c>
      <c r="C114">
        <v>19</v>
      </c>
      <c r="D114">
        <v>27</v>
      </c>
      <c r="E114">
        <v>25</v>
      </c>
    </row>
    <row r="115" spans="1:5" x14ac:dyDescent="0.3">
      <c r="A115">
        <v>21</v>
      </c>
      <c r="B115">
        <v>35</v>
      </c>
      <c r="C115">
        <v>21</v>
      </c>
      <c r="D115">
        <v>28</v>
      </c>
      <c r="E115">
        <v>23</v>
      </c>
    </row>
    <row r="116" spans="1:5" x14ac:dyDescent="0.3">
      <c r="A116">
        <v>14</v>
      </c>
      <c r="B116">
        <v>30</v>
      </c>
      <c r="C116">
        <v>18</v>
      </c>
      <c r="D116">
        <v>25</v>
      </c>
      <c r="E116">
        <v>18</v>
      </c>
    </row>
    <row r="117" spans="1:5" x14ac:dyDescent="0.3">
      <c r="A117">
        <v>21</v>
      </c>
      <c r="B117">
        <v>35</v>
      </c>
      <c r="C117">
        <v>21</v>
      </c>
      <c r="D117">
        <v>28</v>
      </c>
      <c r="E117">
        <v>22</v>
      </c>
    </row>
    <row r="118" spans="1:5" x14ac:dyDescent="0.3">
      <c r="A118">
        <v>21</v>
      </c>
      <c r="B118">
        <v>35</v>
      </c>
      <c r="C118">
        <v>21</v>
      </c>
      <c r="D118">
        <v>28</v>
      </c>
      <c r="E118">
        <v>28</v>
      </c>
    </row>
    <row r="119" spans="1:5" x14ac:dyDescent="0.3">
      <c r="A119">
        <v>21</v>
      </c>
      <c r="B119">
        <v>35</v>
      </c>
      <c r="C119">
        <v>21</v>
      </c>
      <c r="D119">
        <v>22</v>
      </c>
      <c r="E119">
        <v>9</v>
      </c>
    </row>
    <row r="120" spans="1:5" x14ac:dyDescent="0.3">
      <c r="A120">
        <v>21</v>
      </c>
      <c r="B120">
        <v>35</v>
      </c>
      <c r="C120">
        <v>21</v>
      </c>
      <c r="D120">
        <v>28</v>
      </c>
      <c r="E120">
        <v>22</v>
      </c>
    </row>
    <row r="121" spans="1:5" x14ac:dyDescent="0.3">
      <c r="A121">
        <v>21</v>
      </c>
      <c r="B121">
        <v>35</v>
      </c>
      <c r="C121">
        <v>21</v>
      </c>
      <c r="D121">
        <v>28</v>
      </c>
      <c r="E121">
        <v>16</v>
      </c>
    </row>
    <row r="122" spans="1:5" x14ac:dyDescent="0.3">
      <c r="A122">
        <v>17</v>
      </c>
      <c r="B122">
        <v>31</v>
      </c>
      <c r="C122">
        <v>19</v>
      </c>
      <c r="D122">
        <v>27</v>
      </c>
      <c r="E122">
        <v>15</v>
      </c>
    </row>
    <row r="123" spans="1:5" x14ac:dyDescent="0.3">
      <c r="A123">
        <v>5</v>
      </c>
      <c r="B123">
        <v>10</v>
      </c>
      <c r="C123">
        <v>6</v>
      </c>
      <c r="D123">
        <v>10</v>
      </c>
      <c r="E123">
        <v>14</v>
      </c>
    </row>
    <row r="124" spans="1:5" x14ac:dyDescent="0.3">
      <c r="A124">
        <v>21</v>
      </c>
      <c r="B124">
        <v>35</v>
      </c>
      <c r="C124">
        <v>21</v>
      </c>
      <c r="D124">
        <v>28</v>
      </c>
      <c r="E124">
        <v>20</v>
      </c>
    </row>
    <row r="125" spans="1:5" x14ac:dyDescent="0.3">
      <c r="A125">
        <v>21</v>
      </c>
      <c r="B125">
        <v>35</v>
      </c>
      <c r="C125">
        <v>21</v>
      </c>
      <c r="D125">
        <v>28</v>
      </c>
      <c r="E125">
        <v>28</v>
      </c>
    </row>
    <row r="126" spans="1:5" x14ac:dyDescent="0.3">
      <c r="A126">
        <v>21</v>
      </c>
      <c r="B126">
        <v>30</v>
      </c>
      <c r="C126">
        <v>18</v>
      </c>
      <c r="D126">
        <v>25</v>
      </c>
      <c r="E126">
        <v>21</v>
      </c>
    </row>
    <row r="127" spans="1:5" x14ac:dyDescent="0.3">
      <c r="A127">
        <v>21</v>
      </c>
      <c r="B127">
        <v>34</v>
      </c>
      <c r="C127">
        <v>20</v>
      </c>
      <c r="D127">
        <v>23</v>
      </c>
      <c r="E127">
        <v>20</v>
      </c>
    </row>
    <row r="128" spans="1:5" x14ac:dyDescent="0.3">
      <c r="A128">
        <v>3</v>
      </c>
      <c r="B128">
        <v>5</v>
      </c>
      <c r="C128">
        <v>3</v>
      </c>
      <c r="D128">
        <v>16</v>
      </c>
      <c r="E128">
        <v>13</v>
      </c>
    </row>
    <row r="129" spans="1:5" x14ac:dyDescent="0.3">
      <c r="A129">
        <v>17</v>
      </c>
      <c r="B129">
        <v>28</v>
      </c>
      <c r="C129">
        <v>15</v>
      </c>
      <c r="D129">
        <v>24</v>
      </c>
      <c r="E129">
        <v>24</v>
      </c>
    </row>
    <row r="130" spans="1:5" x14ac:dyDescent="0.3">
      <c r="A130">
        <v>21</v>
      </c>
      <c r="B130">
        <v>35</v>
      </c>
      <c r="C130">
        <v>21</v>
      </c>
      <c r="D130">
        <v>28</v>
      </c>
      <c r="E130">
        <v>28</v>
      </c>
    </row>
    <row r="131" spans="1:5" x14ac:dyDescent="0.3">
      <c r="A131">
        <v>21</v>
      </c>
      <c r="B131">
        <v>35</v>
      </c>
      <c r="C131">
        <v>21</v>
      </c>
      <c r="D131">
        <v>26</v>
      </c>
      <c r="E131">
        <v>19</v>
      </c>
    </row>
    <row r="132" spans="1:5" x14ac:dyDescent="0.3">
      <c r="A132">
        <v>21</v>
      </c>
      <c r="B132">
        <v>35</v>
      </c>
      <c r="C132">
        <v>21</v>
      </c>
      <c r="D132">
        <v>28</v>
      </c>
      <c r="E132">
        <v>24</v>
      </c>
    </row>
    <row r="133" spans="1:5" x14ac:dyDescent="0.3">
      <c r="A133">
        <v>21</v>
      </c>
      <c r="B133">
        <v>35</v>
      </c>
      <c r="C133">
        <v>21</v>
      </c>
      <c r="D133">
        <v>28</v>
      </c>
      <c r="E133">
        <v>21</v>
      </c>
    </row>
    <row r="134" spans="1:5" x14ac:dyDescent="0.3">
      <c r="A134">
        <v>21</v>
      </c>
      <c r="B134">
        <v>35</v>
      </c>
      <c r="C134">
        <v>21</v>
      </c>
      <c r="D134">
        <v>28</v>
      </c>
      <c r="E134">
        <v>20</v>
      </c>
    </row>
    <row r="135" spans="1:5" x14ac:dyDescent="0.3">
      <c r="A135">
        <v>12</v>
      </c>
      <c r="B135">
        <v>23</v>
      </c>
      <c r="C135">
        <v>13</v>
      </c>
      <c r="D135">
        <v>19</v>
      </c>
      <c r="E135">
        <v>19</v>
      </c>
    </row>
    <row r="136" spans="1:5" x14ac:dyDescent="0.3">
      <c r="A136">
        <v>21</v>
      </c>
      <c r="B136">
        <v>35</v>
      </c>
      <c r="C136">
        <v>18</v>
      </c>
      <c r="D136">
        <v>24</v>
      </c>
      <c r="E136">
        <v>20</v>
      </c>
    </row>
    <row r="137" spans="1:5" x14ac:dyDescent="0.3">
      <c r="A137">
        <v>15</v>
      </c>
      <c r="B137">
        <v>28</v>
      </c>
      <c r="C137">
        <v>16</v>
      </c>
      <c r="D137">
        <v>24</v>
      </c>
      <c r="E137">
        <v>15</v>
      </c>
    </row>
    <row r="138" spans="1:5" x14ac:dyDescent="0.3">
      <c r="A138">
        <v>21</v>
      </c>
      <c r="B138">
        <v>35</v>
      </c>
      <c r="C138">
        <v>21</v>
      </c>
      <c r="D138">
        <v>27</v>
      </c>
      <c r="E138">
        <v>26</v>
      </c>
    </row>
    <row r="139" spans="1:5" x14ac:dyDescent="0.3">
      <c r="A139">
        <v>21</v>
      </c>
      <c r="B139">
        <v>35</v>
      </c>
      <c r="C139">
        <v>21</v>
      </c>
      <c r="D139">
        <v>28</v>
      </c>
      <c r="E139">
        <v>27</v>
      </c>
    </row>
    <row r="140" spans="1:5" x14ac:dyDescent="0.3">
      <c r="A140">
        <v>21</v>
      </c>
      <c r="B140">
        <v>35</v>
      </c>
      <c r="C140">
        <v>19</v>
      </c>
      <c r="D140">
        <v>27</v>
      </c>
      <c r="E140">
        <v>21</v>
      </c>
    </row>
    <row r="141" spans="1:5" x14ac:dyDescent="0.3">
      <c r="A141">
        <v>21</v>
      </c>
      <c r="B141">
        <v>35</v>
      </c>
      <c r="C141">
        <v>21</v>
      </c>
      <c r="D141">
        <v>28</v>
      </c>
      <c r="E141">
        <v>25</v>
      </c>
    </row>
    <row r="142" spans="1:5" x14ac:dyDescent="0.3">
      <c r="A142">
        <v>21</v>
      </c>
      <c r="B142">
        <v>35</v>
      </c>
      <c r="C142">
        <v>21</v>
      </c>
      <c r="D142">
        <v>27</v>
      </c>
      <c r="E142">
        <v>20</v>
      </c>
    </row>
    <row r="143" spans="1:5" x14ac:dyDescent="0.3">
      <c r="A143">
        <v>18</v>
      </c>
      <c r="B143">
        <v>30</v>
      </c>
      <c r="C143">
        <v>18</v>
      </c>
      <c r="D143">
        <v>25</v>
      </c>
      <c r="E143">
        <v>15</v>
      </c>
    </row>
    <row r="144" spans="1:5" x14ac:dyDescent="0.3">
      <c r="A144">
        <v>18</v>
      </c>
      <c r="B144">
        <v>29</v>
      </c>
      <c r="C144">
        <v>18</v>
      </c>
      <c r="D144">
        <v>25</v>
      </c>
      <c r="E144">
        <v>19</v>
      </c>
    </row>
    <row r="145" spans="1:5" x14ac:dyDescent="0.3">
      <c r="A145">
        <v>5</v>
      </c>
      <c r="B145">
        <v>11</v>
      </c>
      <c r="C145">
        <v>11</v>
      </c>
      <c r="D145">
        <v>14</v>
      </c>
      <c r="E145">
        <v>13</v>
      </c>
    </row>
    <row r="146" spans="1:5" x14ac:dyDescent="0.3">
      <c r="A146">
        <v>14</v>
      </c>
      <c r="B146">
        <v>26</v>
      </c>
      <c r="C146">
        <v>15</v>
      </c>
      <c r="D146">
        <v>25</v>
      </c>
      <c r="E146">
        <v>16</v>
      </c>
    </row>
    <row r="147" spans="1:5" x14ac:dyDescent="0.3">
      <c r="A147">
        <v>21</v>
      </c>
      <c r="B147">
        <v>35</v>
      </c>
      <c r="C147">
        <v>21</v>
      </c>
      <c r="D147">
        <v>22</v>
      </c>
      <c r="E147">
        <v>22</v>
      </c>
    </row>
    <row r="148" spans="1:5" x14ac:dyDescent="0.3">
      <c r="A148">
        <v>21</v>
      </c>
      <c r="B148">
        <v>35</v>
      </c>
      <c r="C148">
        <v>21</v>
      </c>
      <c r="D148">
        <v>28</v>
      </c>
      <c r="E148">
        <v>28</v>
      </c>
    </row>
    <row r="149" spans="1:5" x14ac:dyDescent="0.3">
      <c r="A149">
        <v>18</v>
      </c>
      <c r="B149">
        <v>31</v>
      </c>
      <c r="C149">
        <v>18</v>
      </c>
      <c r="D149">
        <v>22</v>
      </c>
      <c r="E149">
        <v>17</v>
      </c>
    </row>
    <row r="150" spans="1:5" x14ac:dyDescent="0.3">
      <c r="A150">
        <v>21</v>
      </c>
      <c r="B150">
        <v>35</v>
      </c>
      <c r="C150">
        <v>21</v>
      </c>
      <c r="D150">
        <v>22</v>
      </c>
      <c r="E150">
        <v>28</v>
      </c>
    </row>
    <row r="151" spans="1:5" x14ac:dyDescent="0.3">
      <c r="A151">
        <v>21</v>
      </c>
      <c r="B151">
        <v>35</v>
      </c>
      <c r="C151">
        <v>21</v>
      </c>
      <c r="D151">
        <v>28</v>
      </c>
      <c r="E151">
        <v>11</v>
      </c>
    </row>
    <row r="152" spans="1:5" x14ac:dyDescent="0.3">
      <c r="A152">
        <v>20</v>
      </c>
      <c r="B152">
        <v>28</v>
      </c>
      <c r="C152">
        <v>18</v>
      </c>
      <c r="D152">
        <v>20</v>
      </c>
      <c r="E152">
        <v>20</v>
      </c>
    </row>
    <row r="153" spans="1:5" x14ac:dyDescent="0.3">
      <c r="A153">
        <v>17</v>
      </c>
      <c r="B153">
        <v>32</v>
      </c>
      <c r="C153">
        <v>13</v>
      </c>
      <c r="D153">
        <v>16</v>
      </c>
      <c r="E153">
        <v>19</v>
      </c>
    </row>
    <row r="154" spans="1:5" x14ac:dyDescent="0.3">
      <c r="A154">
        <v>21</v>
      </c>
      <c r="B154">
        <v>35</v>
      </c>
      <c r="C154">
        <v>21</v>
      </c>
      <c r="D154">
        <v>28</v>
      </c>
      <c r="E154">
        <v>22</v>
      </c>
    </row>
    <row r="155" spans="1:5" x14ac:dyDescent="0.3">
      <c r="A155">
        <v>21</v>
      </c>
      <c r="B155">
        <v>35</v>
      </c>
      <c r="C155">
        <v>21</v>
      </c>
      <c r="D155">
        <v>28</v>
      </c>
      <c r="E155">
        <v>19</v>
      </c>
    </row>
    <row r="156" spans="1:5" x14ac:dyDescent="0.3">
      <c r="A156">
        <v>19</v>
      </c>
      <c r="B156">
        <v>33</v>
      </c>
      <c r="C156">
        <v>21</v>
      </c>
      <c r="D156">
        <v>28</v>
      </c>
      <c r="E156">
        <v>21</v>
      </c>
    </row>
    <row r="157" spans="1:5" x14ac:dyDescent="0.3">
      <c r="A157">
        <v>15</v>
      </c>
      <c r="B157">
        <v>26</v>
      </c>
      <c r="C157">
        <v>21</v>
      </c>
      <c r="D157">
        <v>25</v>
      </c>
      <c r="E157">
        <v>23</v>
      </c>
    </row>
    <row r="158" spans="1:5" x14ac:dyDescent="0.3">
      <c r="A158">
        <v>7</v>
      </c>
      <c r="B158">
        <v>22</v>
      </c>
      <c r="C158">
        <v>18</v>
      </c>
      <c r="D158">
        <v>25</v>
      </c>
      <c r="E158">
        <v>13</v>
      </c>
    </row>
    <row r="159" spans="1:5" x14ac:dyDescent="0.3">
      <c r="A159">
        <v>3</v>
      </c>
      <c r="B159">
        <v>5</v>
      </c>
      <c r="C159">
        <v>3</v>
      </c>
      <c r="D159">
        <v>10</v>
      </c>
      <c r="E159">
        <v>5</v>
      </c>
    </row>
    <row r="160" spans="1:5" x14ac:dyDescent="0.3">
      <c r="A160">
        <v>18</v>
      </c>
      <c r="B160">
        <v>30</v>
      </c>
      <c r="C160">
        <v>18</v>
      </c>
      <c r="D160">
        <v>20</v>
      </c>
      <c r="E160">
        <v>19</v>
      </c>
    </row>
    <row r="161" spans="1:5" x14ac:dyDescent="0.3">
      <c r="A161">
        <v>21</v>
      </c>
      <c r="B161">
        <v>35</v>
      </c>
      <c r="C161">
        <v>21</v>
      </c>
      <c r="D161">
        <v>25</v>
      </c>
      <c r="E161">
        <v>23</v>
      </c>
    </row>
    <row r="162" spans="1:5" x14ac:dyDescent="0.3">
      <c r="A162">
        <v>18</v>
      </c>
      <c r="B162">
        <v>30</v>
      </c>
      <c r="C162">
        <v>21</v>
      </c>
      <c r="D162">
        <v>26</v>
      </c>
      <c r="E162">
        <v>23</v>
      </c>
    </row>
    <row r="163" spans="1:5" x14ac:dyDescent="0.3">
      <c r="A163">
        <v>20</v>
      </c>
      <c r="B163">
        <v>35</v>
      </c>
      <c r="C163">
        <v>18</v>
      </c>
      <c r="D163">
        <v>28</v>
      </c>
      <c r="E163">
        <v>14</v>
      </c>
    </row>
    <row r="164" spans="1:5" x14ac:dyDescent="0.3">
      <c r="A164">
        <v>16</v>
      </c>
      <c r="B164">
        <v>28</v>
      </c>
      <c r="C164">
        <v>17</v>
      </c>
      <c r="D164">
        <v>19</v>
      </c>
      <c r="E164">
        <v>20</v>
      </c>
    </row>
    <row r="165" spans="1:5" x14ac:dyDescent="0.3">
      <c r="A165">
        <v>17</v>
      </c>
      <c r="B165">
        <v>20</v>
      </c>
      <c r="C165">
        <v>18</v>
      </c>
      <c r="D165">
        <v>20</v>
      </c>
      <c r="E165">
        <v>20</v>
      </c>
    </row>
    <row r="166" spans="1:5" x14ac:dyDescent="0.3">
      <c r="A166">
        <v>21</v>
      </c>
      <c r="B166">
        <v>35</v>
      </c>
      <c r="C166">
        <v>13</v>
      </c>
      <c r="D166">
        <v>25</v>
      </c>
      <c r="E166">
        <v>25</v>
      </c>
    </row>
    <row r="167" spans="1:5" x14ac:dyDescent="0.3">
      <c r="A167">
        <v>16</v>
      </c>
      <c r="B167">
        <v>12</v>
      </c>
      <c r="C167">
        <v>13</v>
      </c>
      <c r="D167">
        <v>27</v>
      </c>
      <c r="E167">
        <v>14</v>
      </c>
    </row>
    <row r="168" spans="1:5" x14ac:dyDescent="0.3">
      <c r="A168">
        <v>21</v>
      </c>
      <c r="B168">
        <v>35</v>
      </c>
      <c r="C168">
        <v>21</v>
      </c>
      <c r="D168">
        <v>28</v>
      </c>
      <c r="E168">
        <v>20</v>
      </c>
    </row>
    <row r="169" spans="1:5" x14ac:dyDescent="0.3">
      <c r="A169">
        <v>18</v>
      </c>
      <c r="B169">
        <v>32</v>
      </c>
      <c r="C169">
        <v>20</v>
      </c>
      <c r="D169">
        <v>25</v>
      </c>
      <c r="E169">
        <v>25</v>
      </c>
    </row>
    <row r="170" spans="1:5" x14ac:dyDescent="0.3">
      <c r="A170">
        <v>20</v>
      </c>
      <c r="B170">
        <v>31</v>
      </c>
      <c r="C170">
        <v>19</v>
      </c>
      <c r="D170">
        <v>22</v>
      </c>
      <c r="E170">
        <v>21</v>
      </c>
    </row>
    <row r="171" spans="1:5" x14ac:dyDescent="0.3">
      <c r="A171">
        <v>21</v>
      </c>
      <c r="B171">
        <v>35</v>
      </c>
      <c r="C171">
        <v>21</v>
      </c>
      <c r="D171">
        <v>28</v>
      </c>
      <c r="E171">
        <v>19</v>
      </c>
    </row>
    <row r="172" spans="1:5" x14ac:dyDescent="0.3">
      <c r="A172">
        <v>21</v>
      </c>
      <c r="B172">
        <v>35</v>
      </c>
      <c r="C172">
        <v>21</v>
      </c>
      <c r="D172">
        <v>28</v>
      </c>
      <c r="E172">
        <v>16</v>
      </c>
    </row>
    <row r="173" spans="1:5" x14ac:dyDescent="0.3">
      <c r="A173">
        <v>19</v>
      </c>
      <c r="B173">
        <v>30</v>
      </c>
      <c r="C173">
        <v>18</v>
      </c>
      <c r="D173">
        <v>26</v>
      </c>
      <c r="E173">
        <v>12</v>
      </c>
    </row>
    <row r="174" spans="1:5" x14ac:dyDescent="0.3">
      <c r="A174">
        <v>21</v>
      </c>
      <c r="B174">
        <v>35</v>
      </c>
      <c r="C174">
        <v>21</v>
      </c>
      <c r="D174">
        <v>28</v>
      </c>
      <c r="E174">
        <v>10</v>
      </c>
    </row>
    <row r="175" spans="1:5" x14ac:dyDescent="0.3">
      <c r="A175">
        <v>20</v>
      </c>
      <c r="B175">
        <v>32</v>
      </c>
      <c r="C175">
        <v>20</v>
      </c>
      <c r="D175">
        <v>19</v>
      </c>
      <c r="E175">
        <v>20</v>
      </c>
    </row>
    <row r="176" spans="1:5" x14ac:dyDescent="0.3">
      <c r="A176">
        <v>21</v>
      </c>
      <c r="B176">
        <v>35</v>
      </c>
      <c r="C176">
        <v>21</v>
      </c>
      <c r="D176">
        <v>28</v>
      </c>
      <c r="E176">
        <v>25</v>
      </c>
    </row>
    <row r="177" spans="1:5" x14ac:dyDescent="0.3">
      <c r="A177">
        <v>19</v>
      </c>
      <c r="B177">
        <v>30</v>
      </c>
      <c r="C177">
        <v>21</v>
      </c>
      <c r="D177">
        <v>27</v>
      </c>
      <c r="E177">
        <v>9</v>
      </c>
    </row>
    <row r="178" spans="1:5" x14ac:dyDescent="0.3">
      <c r="A178">
        <v>14</v>
      </c>
      <c r="B178">
        <v>27</v>
      </c>
      <c r="C178">
        <v>18</v>
      </c>
      <c r="D178">
        <v>24</v>
      </c>
      <c r="E178">
        <v>19</v>
      </c>
    </row>
    <row r="179" spans="1:5" x14ac:dyDescent="0.3">
      <c r="A179">
        <v>21</v>
      </c>
      <c r="B179">
        <v>35</v>
      </c>
      <c r="C179">
        <v>21</v>
      </c>
      <c r="D179">
        <v>28</v>
      </c>
      <c r="E179">
        <v>7</v>
      </c>
    </row>
    <row r="180" spans="1:5" x14ac:dyDescent="0.3">
      <c r="A180">
        <v>21</v>
      </c>
      <c r="B180">
        <v>35</v>
      </c>
      <c r="C180">
        <v>21</v>
      </c>
      <c r="D180">
        <v>28</v>
      </c>
      <c r="E180">
        <v>23</v>
      </c>
    </row>
    <row r="181" spans="1:5" x14ac:dyDescent="0.3">
      <c r="A181">
        <v>21</v>
      </c>
      <c r="B181">
        <v>35</v>
      </c>
      <c r="C181">
        <v>21</v>
      </c>
      <c r="D181">
        <v>28</v>
      </c>
      <c r="E181">
        <v>15</v>
      </c>
    </row>
    <row r="182" spans="1:5" x14ac:dyDescent="0.3">
      <c r="A182">
        <v>13</v>
      </c>
      <c r="B182">
        <v>35</v>
      </c>
      <c r="C182">
        <v>18</v>
      </c>
      <c r="D182">
        <v>24</v>
      </c>
      <c r="E182">
        <v>20</v>
      </c>
    </row>
    <row r="183" spans="1:5" x14ac:dyDescent="0.3">
      <c r="A183">
        <v>21</v>
      </c>
      <c r="B183">
        <v>35</v>
      </c>
      <c r="C183">
        <v>21</v>
      </c>
      <c r="D183">
        <v>28</v>
      </c>
      <c r="E183">
        <v>16</v>
      </c>
    </row>
    <row r="184" spans="1:5" x14ac:dyDescent="0.3">
      <c r="A184">
        <v>15</v>
      </c>
      <c r="B184">
        <v>24</v>
      </c>
      <c r="C184">
        <v>17</v>
      </c>
      <c r="D184">
        <v>20</v>
      </c>
      <c r="E184">
        <v>14</v>
      </c>
    </row>
    <row r="185" spans="1:5" x14ac:dyDescent="0.3">
      <c r="A185">
        <v>21</v>
      </c>
      <c r="B185">
        <v>35</v>
      </c>
      <c r="C185">
        <v>21</v>
      </c>
      <c r="D185">
        <v>22</v>
      </c>
      <c r="E185">
        <v>21</v>
      </c>
    </row>
    <row r="186" spans="1:5" x14ac:dyDescent="0.3">
      <c r="A186">
        <v>15</v>
      </c>
      <c r="B186">
        <v>25</v>
      </c>
      <c r="C186">
        <v>17</v>
      </c>
      <c r="D186">
        <v>25</v>
      </c>
      <c r="E186">
        <v>18</v>
      </c>
    </row>
    <row r="187" spans="1:5" x14ac:dyDescent="0.3">
      <c r="A187">
        <v>21</v>
      </c>
      <c r="B187">
        <v>35</v>
      </c>
      <c r="C187">
        <v>14</v>
      </c>
      <c r="D187">
        <v>22</v>
      </c>
      <c r="E187">
        <v>14</v>
      </c>
    </row>
    <row r="188" spans="1:5" x14ac:dyDescent="0.3">
      <c r="A188">
        <v>17</v>
      </c>
      <c r="B188">
        <v>33</v>
      </c>
      <c r="C188">
        <v>13</v>
      </c>
      <c r="D188">
        <v>22</v>
      </c>
      <c r="E188">
        <v>19</v>
      </c>
    </row>
    <row r="189" spans="1:5" x14ac:dyDescent="0.3">
      <c r="A189">
        <v>21</v>
      </c>
      <c r="B189">
        <v>35</v>
      </c>
      <c r="C189">
        <v>21</v>
      </c>
      <c r="D189">
        <v>28</v>
      </c>
      <c r="E189">
        <v>25</v>
      </c>
    </row>
    <row r="190" spans="1:5" x14ac:dyDescent="0.3">
      <c r="A190">
        <v>18</v>
      </c>
      <c r="B190">
        <v>32</v>
      </c>
      <c r="C190">
        <v>15</v>
      </c>
      <c r="D190">
        <v>21</v>
      </c>
      <c r="E190">
        <v>13</v>
      </c>
    </row>
    <row r="191" spans="1:5" x14ac:dyDescent="0.3">
      <c r="A191">
        <v>19</v>
      </c>
      <c r="B191">
        <v>34</v>
      </c>
      <c r="C191">
        <v>21</v>
      </c>
      <c r="D191">
        <v>28</v>
      </c>
      <c r="E191">
        <v>16</v>
      </c>
    </row>
    <row r="192" spans="1:5" x14ac:dyDescent="0.3">
      <c r="A192">
        <v>21</v>
      </c>
      <c r="B192">
        <v>35</v>
      </c>
      <c r="C192">
        <v>21</v>
      </c>
      <c r="D192">
        <v>28</v>
      </c>
      <c r="E192">
        <v>25</v>
      </c>
    </row>
    <row r="193" spans="1:5" x14ac:dyDescent="0.3">
      <c r="A193">
        <v>21</v>
      </c>
      <c r="B193">
        <v>35</v>
      </c>
      <c r="C193">
        <v>21</v>
      </c>
      <c r="D193">
        <v>28</v>
      </c>
      <c r="E193">
        <v>19</v>
      </c>
    </row>
    <row r="194" spans="1:5" x14ac:dyDescent="0.3">
      <c r="A194">
        <v>16</v>
      </c>
      <c r="B194">
        <v>20</v>
      </c>
      <c r="C194">
        <v>15</v>
      </c>
      <c r="D194">
        <v>25</v>
      </c>
      <c r="E194">
        <v>21</v>
      </c>
    </row>
    <row r="195" spans="1:5" x14ac:dyDescent="0.3">
      <c r="A195">
        <v>21</v>
      </c>
      <c r="B195">
        <v>35</v>
      </c>
      <c r="C195">
        <v>21</v>
      </c>
      <c r="D195">
        <v>22</v>
      </c>
      <c r="E195">
        <v>19</v>
      </c>
    </row>
    <row r="196" spans="1:5" x14ac:dyDescent="0.3">
      <c r="A196">
        <v>19</v>
      </c>
      <c r="B196">
        <v>35</v>
      </c>
      <c r="C196">
        <v>18</v>
      </c>
      <c r="D196">
        <v>25</v>
      </c>
      <c r="E196">
        <v>20</v>
      </c>
    </row>
    <row r="197" spans="1:5" x14ac:dyDescent="0.3">
      <c r="A197">
        <v>5</v>
      </c>
      <c r="B197">
        <v>5</v>
      </c>
      <c r="C197">
        <v>9</v>
      </c>
      <c r="D197">
        <v>16</v>
      </c>
      <c r="E197">
        <v>19</v>
      </c>
    </row>
    <row r="198" spans="1:5" x14ac:dyDescent="0.3">
      <c r="A198">
        <v>21</v>
      </c>
      <c r="B198">
        <v>35</v>
      </c>
      <c r="C198">
        <v>21</v>
      </c>
      <c r="D198">
        <v>22</v>
      </c>
      <c r="E198">
        <v>26</v>
      </c>
    </row>
    <row r="199" spans="1:5" x14ac:dyDescent="0.3">
      <c r="A199">
        <v>21</v>
      </c>
      <c r="B199">
        <v>35</v>
      </c>
      <c r="C199">
        <v>19</v>
      </c>
      <c r="D199">
        <v>25</v>
      </c>
      <c r="E199">
        <v>25</v>
      </c>
    </row>
    <row r="200" spans="1:5" x14ac:dyDescent="0.3">
      <c r="A200">
        <v>19</v>
      </c>
      <c r="B200">
        <v>31</v>
      </c>
      <c r="C200">
        <v>17</v>
      </c>
      <c r="D200">
        <v>26</v>
      </c>
      <c r="E200">
        <v>20</v>
      </c>
    </row>
    <row r="201" spans="1:5" x14ac:dyDescent="0.3">
      <c r="A201">
        <v>17</v>
      </c>
      <c r="B201">
        <v>30</v>
      </c>
      <c r="C201">
        <v>15</v>
      </c>
      <c r="D201">
        <v>23</v>
      </c>
      <c r="E201">
        <v>18</v>
      </c>
    </row>
    <row r="202" spans="1:5" x14ac:dyDescent="0.3">
      <c r="A202">
        <v>7</v>
      </c>
      <c r="B202">
        <v>9</v>
      </c>
      <c r="C202">
        <v>6</v>
      </c>
      <c r="D202">
        <v>16</v>
      </c>
      <c r="E202">
        <v>27</v>
      </c>
    </row>
    <row r="203" spans="1:5" x14ac:dyDescent="0.3">
      <c r="A203">
        <v>19</v>
      </c>
      <c r="B203">
        <v>29</v>
      </c>
      <c r="C203">
        <v>18</v>
      </c>
      <c r="D203">
        <v>25</v>
      </c>
      <c r="E203">
        <v>23</v>
      </c>
    </row>
    <row r="204" spans="1:5" x14ac:dyDescent="0.3">
      <c r="A204">
        <v>21</v>
      </c>
      <c r="B204">
        <v>35</v>
      </c>
      <c r="C204">
        <v>21</v>
      </c>
      <c r="D204">
        <v>28</v>
      </c>
      <c r="E204">
        <v>19</v>
      </c>
    </row>
    <row r="205" spans="1:5" x14ac:dyDescent="0.3">
      <c r="A205">
        <v>19</v>
      </c>
      <c r="B205">
        <v>22</v>
      </c>
      <c r="C205">
        <v>14</v>
      </c>
      <c r="D205">
        <v>14</v>
      </c>
      <c r="E205">
        <v>14</v>
      </c>
    </row>
    <row r="206" spans="1:5" x14ac:dyDescent="0.3">
      <c r="A206">
        <v>21</v>
      </c>
      <c r="B206">
        <v>35</v>
      </c>
      <c r="C206">
        <v>20</v>
      </c>
      <c r="D206">
        <v>27</v>
      </c>
      <c r="E206">
        <v>16</v>
      </c>
    </row>
    <row r="207" spans="1:5" x14ac:dyDescent="0.3">
      <c r="A207">
        <v>21</v>
      </c>
      <c r="B207">
        <v>35</v>
      </c>
      <c r="C207">
        <v>19</v>
      </c>
      <c r="D207">
        <v>21</v>
      </c>
      <c r="E207">
        <v>24</v>
      </c>
    </row>
    <row r="208" spans="1:5" x14ac:dyDescent="0.3">
      <c r="A208">
        <v>17</v>
      </c>
      <c r="B208">
        <v>35</v>
      </c>
      <c r="C208">
        <v>19</v>
      </c>
      <c r="D208">
        <v>27</v>
      </c>
      <c r="E208">
        <v>16</v>
      </c>
    </row>
    <row r="209" spans="1:5" x14ac:dyDescent="0.3">
      <c r="A209">
        <v>21</v>
      </c>
      <c r="B209">
        <v>32</v>
      </c>
      <c r="C209">
        <v>18</v>
      </c>
      <c r="D209">
        <v>26</v>
      </c>
      <c r="E209">
        <v>23</v>
      </c>
    </row>
    <row r="210" spans="1:5" x14ac:dyDescent="0.3">
      <c r="A210">
        <v>18</v>
      </c>
      <c r="B210">
        <v>26</v>
      </c>
      <c r="C210">
        <v>18</v>
      </c>
      <c r="D210">
        <v>22</v>
      </c>
      <c r="E210">
        <v>20</v>
      </c>
    </row>
    <row r="211" spans="1:5" x14ac:dyDescent="0.3">
      <c r="A211">
        <v>21</v>
      </c>
      <c r="B211">
        <v>35</v>
      </c>
      <c r="C211">
        <v>18</v>
      </c>
      <c r="D211">
        <v>25</v>
      </c>
      <c r="E211">
        <v>14</v>
      </c>
    </row>
    <row r="212" spans="1:5" x14ac:dyDescent="0.3">
      <c r="A212">
        <v>21</v>
      </c>
      <c r="B212">
        <v>35</v>
      </c>
      <c r="C212">
        <v>21</v>
      </c>
      <c r="D212">
        <v>28</v>
      </c>
      <c r="E212">
        <v>15</v>
      </c>
    </row>
    <row r="213" spans="1:5" x14ac:dyDescent="0.3">
      <c r="A213">
        <v>21</v>
      </c>
      <c r="B213">
        <v>35</v>
      </c>
      <c r="C213">
        <v>21</v>
      </c>
      <c r="D213">
        <v>27</v>
      </c>
      <c r="E213">
        <v>25</v>
      </c>
    </row>
    <row r="214" spans="1:5" x14ac:dyDescent="0.3">
      <c r="A214">
        <v>15</v>
      </c>
      <c r="B214">
        <v>19</v>
      </c>
      <c r="C214">
        <v>19</v>
      </c>
      <c r="D214">
        <v>28</v>
      </c>
      <c r="E214">
        <v>21</v>
      </c>
    </row>
    <row r="215" spans="1:5" x14ac:dyDescent="0.3">
      <c r="A215">
        <v>18</v>
      </c>
      <c r="B215">
        <v>25</v>
      </c>
      <c r="C215">
        <v>15</v>
      </c>
      <c r="D215">
        <v>25</v>
      </c>
      <c r="E215">
        <v>22</v>
      </c>
    </row>
    <row r="216" spans="1:5" x14ac:dyDescent="0.3">
      <c r="A216">
        <v>15</v>
      </c>
      <c r="B216">
        <v>25</v>
      </c>
      <c r="C216">
        <v>14</v>
      </c>
      <c r="D216">
        <v>21</v>
      </c>
      <c r="E216">
        <v>16</v>
      </c>
    </row>
    <row r="217" spans="1:5" x14ac:dyDescent="0.3">
      <c r="A217">
        <v>18</v>
      </c>
      <c r="B217">
        <v>30</v>
      </c>
      <c r="C217">
        <v>21</v>
      </c>
      <c r="D217">
        <v>28</v>
      </c>
      <c r="E217">
        <v>15</v>
      </c>
    </row>
    <row r="218" spans="1:5" x14ac:dyDescent="0.3">
      <c r="A218">
        <v>21</v>
      </c>
      <c r="B218">
        <v>34</v>
      </c>
      <c r="C218">
        <v>21</v>
      </c>
      <c r="D218">
        <v>28</v>
      </c>
      <c r="E218">
        <v>25</v>
      </c>
    </row>
    <row r="219" spans="1:5" x14ac:dyDescent="0.3">
      <c r="A219">
        <v>21</v>
      </c>
      <c r="B219">
        <v>35</v>
      </c>
      <c r="C219">
        <v>21</v>
      </c>
      <c r="D219">
        <v>27</v>
      </c>
      <c r="E219">
        <v>27</v>
      </c>
    </row>
    <row r="220" spans="1:5" x14ac:dyDescent="0.3">
      <c r="A220">
        <v>21</v>
      </c>
      <c r="B220">
        <v>35</v>
      </c>
      <c r="C220">
        <v>21</v>
      </c>
      <c r="D220">
        <v>28</v>
      </c>
      <c r="E220">
        <v>28</v>
      </c>
    </row>
    <row r="221" spans="1:5" x14ac:dyDescent="0.3">
      <c r="A221">
        <v>21</v>
      </c>
      <c r="B221">
        <v>35</v>
      </c>
      <c r="C221">
        <v>21</v>
      </c>
      <c r="D221">
        <v>28</v>
      </c>
      <c r="E221">
        <v>21</v>
      </c>
    </row>
    <row r="222" spans="1:5" x14ac:dyDescent="0.3">
      <c r="A222">
        <v>6</v>
      </c>
      <c r="B222">
        <v>8</v>
      </c>
      <c r="C222">
        <v>12</v>
      </c>
      <c r="D222">
        <v>19</v>
      </c>
      <c r="E222">
        <v>24</v>
      </c>
    </row>
    <row r="223" spans="1:5" x14ac:dyDescent="0.3">
      <c r="A223">
        <v>21</v>
      </c>
      <c r="B223">
        <v>35</v>
      </c>
      <c r="C223">
        <v>15</v>
      </c>
      <c r="D223">
        <v>21</v>
      </c>
      <c r="E223">
        <v>19</v>
      </c>
    </row>
    <row r="224" spans="1:5" x14ac:dyDescent="0.3">
      <c r="A224">
        <v>21</v>
      </c>
      <c r="B224">
        <v>35</v>
      </c>
      <c r="C224">
        <v>21</v>
      </c>
      <c r="D224">
        <v>24</v>
      </c>
      <c r="E224">
        <v>18</v>
      </c>
    </row>
    <row r="225" spans="1:5" x14ac:dyDescent="0.3">
      <c r="A225">
        <v>21</v>
      </c>
      <c r="B225">
        <v>35</v>
      </c>
      <c r="C225">
        <v>21</v>
      </c>
      <c r="D225">
        <v>25</v>
      </c>
      <c r="E225">
        <v>18</v>
      </c>
    </row>
    <row r="226" spans="1:5" x14ac:dyDescent="0.3">
      <c r="A226">
        <v>21</v>
      </c>
      <c r="B226">
        <v>35</v>
      </c>
      <c r="C226">
        <v>21</v>
      </c>
      <c r="D226">
        <v>7</v>
      </c>
      <c r="E226">
        <v>10</v>
      </c>
    </row>
    <row r="227" spans="1:5" x14ac:dyDescent="0.3">
      <c r="A227">
        <v>16</v>
      </c>
      <c r="B227">
        <v>33</v>
      </c>
      <c r="C227">
        <v>18</v>
      </c>
      <c r="D227">
        <v>26</v>
      </c>
      <c r="E227">
        <v>28</v>
      </c>
    </row>
    <row r="228" spans="1:5" x14ac:dyDescent="0.3">
      <c r="A228">
        <v>10</v>
      </c>
      <c r="B228">
        <v>14</v>
      </c>
      <c r="C228">
        <v>10</v>
      </c>
      <c r="D228">
        <v>18</v>
      </c>
      <c r="E228">
        <v>13</v>
      </c>
    </row>
    <row r="229" spans="1:5" x14ac:dyDescent="0.3">
      <c r="A229">
        <v>21</v>
      </c>
      <c r="B229">
        <v>35</v>
      </c>
      <c r="C229">
        <v>19</v>
      </c>
      <c r="D229">
        <v>23</v>
      </c>
      <c r="E229">
        <v>6</v>
      </c>
    </row>
    <row r="230" spans="1:5" x14ac:dyDescent="0.3">
      <c r="A230">
        <v>18</v>
      </c>
      <c r="B230">
        <v>32</v>
      </c>
      <c r="C230">
        <v>20</v>
      </c>
      <c r="D230">
        <v>25</v>
      </c>
      <c r="E230">
        <v>13</v>
      </c>
    </row>
    <row r="231" spans="1:5" x14ac:dyDescent="0.3">
      <c r="A231">
        <v>16</v>
      </c>
      <c r="B231">
        <v>29</v>
      </c>
      <c r="C231">
        <v>12</v>
      </c>
      <c r="D231">
        <v>17</v>
      </c>
      <c r="E231">
        <v>15</v>
      </c>
    </row>
    <row r="232" spans="1:5" x14ac:dyDescent="0.3">
      <c r="A232">
        <v>21</v>
      </c>
      <c r="B232">
        <v>35</v>
      </c>
      <c r="C232">
        <v>21</v>
      </c>
      <c r="D232">
        <v>28</v>
      </c>
      <c r="E232">
        <v>17</v>
      </c>
    </row>
    <row r="233" spans="1:5" x14ac:dyDescent="0.3">
      <c r="A233">
        <v>21</v>
      </c>
      <c r="B233">
        <v>35</v>
      </c>
      <c r="C233">
        <v>18</v>
      </c>
      <c r="D233">
        <v>25</v>
      </c>
      <c r="E233">
        <v>19</v>
      </c>
    </row>
    <row r="234" spans="1:5" x14ac:dyDescent="0.3">
      <c r="A234">
        <v>21</v>
      </c>
      <c r="B234">
        <v>35</v>
      </c>
      <c r="C234">
        <v>20</v>
      </c>
      <c r="D234">
        <v>27</v>
      </c>
      <c r="E234">
        <v>20</v>
      </c>
    </row>
    <row r="235" spans="1:5" x14ac:dyDescent="0.3">
      <c r="A235">
        <v>21</v>
      </c>
      <c r="B235">
        <v>35</v>
      </c>
      <c r="C235">
        <v>21</v>
      </c>
      <c r="D235">
        <v>28</v>
      </c>
      <c r="E235">
        <v>10</v>
      </c>
    </row>
    <row r="236" spans="1:5" x14ac:dyDescent="0.3">
      <c r="A236">
        <v>21</v>
      </c>
      <c r="B236">
        <v>35</v>
      </c>
      <c r="C236">
        <v>21</v>
      </c>
      <c r="D236">
        <v>28</v>
      </c>
      <c r="E236">
        <v>19</v>
      </c>
    </row>
    <row r="237" spans="1:5" x14ac:dyDescent="0.3">
      <c r="A237">
        <v>19</v>
      </c>
      <c r="B237">
        <v>31</v>
      </c>
      <c r="C237">
        <v>21</v>
      </c>
      <c r="D237">
        <v>26</v>
      </c>
      <c r="E237">
        <v>13</v>
      </c>
    </row>
    <row r="238" spans="1:5" x14ac:dyDescent="0.3">
      <c r="A238">
        <v>21</v>
      </c>
      <c r="B238">
        <v>35</v>
      </c>
      <c r="C238">
        <v>14</v>
      </c>
      <c r="D238">
        <v>23</v>
      </c>
      <c r="E238">
        <v>14</v>
      </c>
    </row>
    <row r="239" spans="1:5" x14ac:dyDescent="0.3">
      <c r="A239">
        <v>21</v>
      </c>
      <c r="B239">
        <v>35</v>
      </c>
      <c r="C239">
        <v>21</v>
      </c>
      <c r="D239">
        <v>26</v>
      </c>
      <c r="E239">
        <v>20</v>
      </c>
    </row>
    <row r="240" spans="1:5" x14ac:dyDescent="0.3">
      <c r="A240">
        <v>21</v>
      </c>
      <c r="B240">
        <v>35</v>
      </c>
      <c r="C240">
        <v>21</v>
      </c>
      <c r="D240">
        <v>25</v>
      </c>
      <c r="E240">
        <v>15</v>
      </c>
    </row>
    <row r="241" spans="1:5" x14ac:dyDescent="0.3">
      <c r="A241">
        <v>20</v>
      </c>
      <c r="B241">
        <v>35</v>
      </c>
      <c r="C241">
        <v>21</v>
      </c>
      <c r="D241">
        <v>22</v>
      </c>
      <c r="E241">
        <v>14</v>
      </c>
    </row>
    <row r="242" spans="1:5" x14ac:dyDescent="0.3">
      <c r="A242">
        <v>21</v>
      </c>
      <c r="B242">
        <v>35</v>
      </c>
      <c r="C242">
        <v>21</v>
      </c>
      <c r="D242">
        <v>28</v>
      </c>
      <c r="E242">
        <v>26</v>
      </c>
    </row>
    <row r="243" spans="1:5" x14ac:dyDescent="0.3">
      <c r="A243">
        <v>21</v>
      </c>
      <c r="B243">
        <v>35</v>
      </c>
      <c r="C243">
        <v>21</v>
      </c>
      <c r="D243">
        <v>28</v>
      </c>
      <c r="E243">
        <v>20</v>
      </c>
    </row>
    <row r="244" spans="1:5" x14ac:dyDescent="0.3">
      <c r="A244">
        <v>18</v>
      </c>
      <c r="B244">
        <v>30</v>
      </c>
      <c r="C244">
        <v>19</v>
      </c>
      <c r="D244">
        <v>24</v>
      </c>
      <c r="E244">
        <v>21</v>
      </c>
    </row>
    <row r="245" spans="1:5" x14ac:dyDescent="0.3">
      <c r="A245">
        <v>21</v>
      </c>
      <c r="B245">
        <v>35</v>
      </c>
      <c r="C245">
        <v>21</v>
      </c>
      <c r="D245">
        <v>28</v>
      </c>
      <c r="E245">
        <v>20</v>
      </c>
    </row>
    <row r="246" spans="1:5" x14ac:dyDescent="0.3">
      <c r="A246">
        <v>21</v>
      </c>
      <c r="B246">
        <v>35</v>
      </c>
      <c r="C246">
        <v>21</v>
      </c>
      <c r="D246">
        <v>28</v>
      </c>
      <c r="E246">
        <v>15</v>
      </c>
    </row>
    <row r="247" spans="1:5" x14ac:dyDescent="0.3">
      <c r="A247">
        <v>21</v>
      </c>
      <c r="B247">
        <v>35</v>
      </c>
      <c r="C247">
        <v>21</v>
      </c>
      <c r="D247">
        <v>28</v>
      </c>
      <c r="E247">
        <v>24</v>
      </c>
    </row>
    <row r="248" spans="1:5" x14ac:dyDescent="0.3">
      <c r="A248">
        <v>3</v>
      </c>
      <c r="B248">
        <v>5</v>
      </c>
      <c r="C248">
        <v>4</v>
      </c>
      <c r="D248">
        <v>17</v>
      </c>
      <c r="E248">
        <v>26</v>
      </c>
    </row>
    <row r="249" spans="1:5" x14ac:dyDescent="0.3">
      <c r="A249">
        <v>20</v>
      </c>
      <c r="B249">
        <v>33</v>
      </c>
      <c r="C249">
        <v>18</v>
      </c>
      <c r="D249">
        <v>27</v>
      </c>
      <c r="E249">
        <v>24</v>
      </c>
    </row>
    <row r="250" spans="1:5" x14ac:dyDescent="0.3">
      <c r="A250">
        <v>21</v>
      </c>
      <c r="B250">
        <v>35</v>
      </c>
      <c r="C250">
        <v>21</v>
      </c>
      <c r="D250">
        <v>22</v>
      </c>
      <c r="E250">
        <v>25</v>
      </c>
    </row>
    <row r="251" spans="1:5" x14ac:dyDescent="0.3">
      <c r="A251">
        <v>21</v>
      </c>
      <c r="B251">
        <v>35</v>
      </c>
      <c r="C251">
        <v>21</v>
      </c>
      <c r="D251">
        <v>28</v>
      </c>
      <c r="E251">
        <v>10</v>
      </c>
    </row>
    <row r="252" spans="1:5" x14ac:dyDescent="0.3">
      <c r="A252">
        <v>21</v>
      </c>
      <c r="B252">
        <v>35</v>
      </c>
      <c r="C252">
        <v>21</v>
      </c>
      <c r="D252">
        <v>28</v>
      </c>
      <c r="E252">
        <v>24</v>
      </c>
    </row>
    <row r="253" spans="1:5" x14ac:dyDescent="0.3">
      <c r="A253">
        <v>21</v>
      </c>
      <c r="B253">
        <v>35</v>
      </c>
      <c r="C253">
        <v>21</v>
      </c>
      <c r="D253">
        <v>13</v>
      </c>
      <c r="E253">
        <v>27</v>
      </c>
    </row>
    <row r="254" spans="1:5" x14ac:dyDescent="0.3">
      <c r="A254">
        <v>19</v>
      </c>
      <c r="B254">
        <v>35</v>
      </c>
      <c r="C254">
        <v>21</v>
      </c>
      <c r="D254">
        <v>28</v>
      </c>
      <c r="E254">
        <v>19</v>
      </c>
    </row>
    <row r="255" spans="1:5" x14ac:dyDescent="0.3">
      <c r="A255">
        <v>21</v>
      </c>
      <c r="B255">
        <v>35</v>
      </c>
      <c r="C255">
        <v>21</v>
      </c>
      <c r="D255">
        <v>28</v>
      </c>
      <c r="E255">
        <v>24</v>
      </c>
    </row>
    <row r="256" spans="1:5" x14ac:dyDescent="0.3">
      <c r="A256">
        <v>11</v>
      </c>
      <c r="B256">
        <v>15</v>
      </c>
      <c r="C256">
        <v>10</v>
      </c>
      <c r="D256">
        <v>19</v>
      </c>
      <c r="E256">
        <v>8</v>
      </c>
    </row>
    <row r="257" spans="1:5" x14ac:dyDescent="0.3">
      <c r="A257">
        <v>21</v>
      </c>
      <c r="B257">
        <v>35</v>
      </c>
      <c r="C257">
        <v>21</v>
      </c>
      <c r="D257">
        <v>27</v>
      </c>
      <c r="E257">
        <v>22</v>
      </c>
    </row>
    <row r="258" spans="1:5" x14ac:dyDescent="0.3">
      <c r="A258">
        <v>21</v>
      </c>
      <c r="B258">
        <v>35</v>
      </c>
      <c r="C258">
        <v>21</v>
      </c>
      <c r="D258">
        <v>28</v>
      </c>
      <c r="E258">
        <v>17</v>
      </c>
    </row>
    <row r="259" spans="1:5" x14ac:dyDescent="0.3">
      <c r="A259">
        <v>21</v>
      </c>
      <c r="B259">
        <v>35</v>
      </c>
      <c r="C259">
        <v>21</v>
      </c>
      <c r="D259">
        <v>28</v>
      </c>
      <c r="E259">
        <v>16</v>
      </c>
    </row>
    <row r="260" spans="1:5" x14ac:dyDescent="0.3">
      <c r="A260">
        <v>9</v>
      </c>
      <c r="B260">
        <v>16</v>
      </c>
      <c r="C260">
        <v>13</v>
      </c>
      <c r="D260">
        <v>23</v>
      </c>
      <c r="E260">
        <v>9</v>
      </c>
    </row>
    <row r="261" spans="1:5" x14ac:dyDescent="0.3">
      <c r="A261">
        <v>21</v>
      </c>
      <c r="B261">
        <v>35</v>
      </c>
      <c r="C261">
        <v>21</v>
      </c>
      <c r="D261">
        <v>28</v>
      </c>
      <c r="E261">
        <v>18</v>
      </c>
    </row>
    <row r="262" spans="1:5" x14ac:dyDescent="0.3">
      <c r="A262">
        <v>18</v>
      </c>
      <c r="B262">
        <v>31</v>
      </c>
      <c r="C262">
        <v>18</v>
      </c>
      <c r="D262">
        <v>27</v>
      </c>
      <c r="E262">
        <v>20</v>
      </c>
    </row>
    <row r="263" spans="1:5" x14ac:dyDescent="0.3">
      <c r="A263">
        <v>19</v>
      </c>
      <c r="B263">
        <v>32</v>
      </c>
      <c r="C263">
        <v>18</v>
      </c>
      <c r="D263">
        <v>28</v>
      </c>
      <c r="E263">
        <v>19</v>
      </c>
    </row>
    <row r="264" spans="1:5" x14ac:dyDescent="0.3">
      <c r="A264">
        <v>17</v>
      </c>
      <c r="B264">
        <v>32</v>
      </c>
      <c r="C264">
        <v>18</v>
      </c>
      <c r="D264">
        <v>24</v>
      </c>
      <c r="E264">
        <v>19</v>
      </c>
    </row>
    <row r="265" spans="1:5" x14ac:dyDescent="0.3">
      <c r="A265">
        <v>20</v>
      </c>
      <c r="B265">
        <v>35</v>
      </c>
      <c r="C265">
        <v>18</v>
      </c>
      <c r="D265">
        <v>28</v>
      </c>
      <c r="E265">
        <v>13</v>
      </c>
    </row>
    <row r="266" spans="1:5" x14ac:dyDescent="0.3">
      <c r="A266">
        <v>20</v>
      </c>
      <c r="B266">
        <v>35</v>
      </c>
      <c r="C266">
        <v>19</v>
      </c>
      <c r="D266">
        <v>26</v>
      </c>
      <c r="E266">
        <v>22</v>
      </c>
    </row>
    <row r="267" spans="1:5" x14ac:dyDescent="0.3">
      <c r="A267">
        <v>14</v>
      </c>
      <c r="B267">
        <v>26</v>
      </c>
      <c r="C267">
        <v>12</v>
      </c>
      <c r="D267">
        <v>17</v>
      </c>
      <c r="E267">
        <v>17</v>
      </c>
    </row>
    <row r="268" spans="1:5" x14ac:dyDescent="0.3">
      <c r="A268">
        <v>20</v>
      </c>
      <c r="B268">
        <v>35</v>
      </c>
      <c r="C268">
        <v>18</v>
      </c>
      <c r="D268">
        <v>23</v>
      </c>
      <c r="E268">
        <v>18</v>
      </c>
    </row>
    <row r="269" spans="1:5" x14ac:dyDescent="0.3">
      <c r="A269">
        <v>21</v>
      </c>
      <c r="B269">
        <v>35</v>
      </c>
      <c r="C269">
        <v>21</v>
      </c>
      <c r="D269">
        <v>28</v>
      </c>
      <c r="E269">
        <v>25</v>
      </c>
    </row>
    <row r="270" spans="1:5" x14ac:dyDescent="0.3">
      <c r="A270">
        <v>21</v>
      </c>
      <c r="B270">
        <v>35</v>
      </c>
      <c r="C270">
        <v>18</v>
      </c>
      <c r="D270">
        <v>24</v>
      </c>
      <c r="E270">
        <v>22</v>
      </c>
    </row>
    <row r="271" spans="1:5" x14ac:dyDescent="0.3">
      <c r="A271">
        <v>21</v>
      </c>
      <c r="B271">
        <v>35</v>
      </c>
      <c r="C271">
        <v>21</v>
      </c>
      <c r="D271">
        <v>26</v>
      </c>
      <c r="E271">
        <v>17</v>
      </c>
    </row>
    <row r="272" spans="1:5" x14ac:dyDescent="0.3">
      <c r="A272">
        <v>21</v>
      </c>
      <c r="B272">
        <v>35</v>
      </c>
      <c r="C272">
        <v>21</v>
      </c>
      <c r="D272">
        <v>28</v>
      </c>
      <c r="E272">
        <v>22</v>
      </c>
    </row>
    <row r="273" spans="1:5" x14ac:dyDescent="0.3">
      <c r="A273">
        <v>21</v>
      </c>
      <c r="B273">
        <v>35</v>
      </c>
      <c r="C273">
        <v>21</v>
      </c>
      <c r="D273">
        <v>28</v>
      </c>
      <c r="E273">
        <v>20</v>
      </c>
    </row>
    <row r="274" spans="1:5" x14ac:dyDescent="0.3">
      <c r="A274">
        <v>21</v>
      </c>
      <c r="B274">
        <v>35</v>
      </c>
      <c r="C274">
        <v>19</v>
      </c>
      <c r="D274">
        <v>23</v>
      </c>
      <c r="E274">
        <v>19</v>
      </c>
    </row>
    <row r="275" spans="1:5" x14ac:dyDescent="0.3">
      <c r="A275">
        <v>21</v>
      </c>
      <c r="B275">
        <v>32</v>
      </c>
      <c r="C275">
        <v>17</v>
      </c>
      <c r="D275">
        <v>25</v>
      </c>
      <c r="E275">
        <v>23</v>
      </c>
    </row>
    <row r="276" spans="1:5" x14ac:dyDescent="0.3">
      <c r="A276">
        <v>21</v>
      </c>
      <c r="B276">
        <v>35</v>
      </c>
      <c r="C276">
        <v>18</v>
      </c>
      <c r="D276">
        <v>25</v>
      </c>
      <c r="E276">
        <v>19</v>
      </c>
    </row>
    <row r="277" spans="1:5" x14ac:dyDescent="0.3">
      <c r="A277">
        <v>21</v>
      </c>
      <c r="B277">
        <v>35</v>
      </c>
      <c r="C277">
        <v>21</v>
      </c>
      <c r="D277">
        <v>28</v>
      </c>
      <c r="E277">
        <v>18</v>
      </c>
    </row>
    <row r="278" spans="1:5" x14ac:dyDescent="0.3">
      <c r="A278">
        <v>18</v>
      </c>
      <c r="B278">
        <v>30</v>
      </c>
      <c r="C278">
        <v>13</v>
      </c>
      <c r="D278">
        <v>20</v>
      </c>
      <c r="E278">
        <v>12</v>
      </c>
    </row>
    <row r="279" spans="1:5" x14ac:dyDescent="0.3">
      <c r="A279">
        <v>21</v>
      </c>
      <c r="B279">
        <v>30</v>
      </c>
      <c r="C279">
        <v>21</v>
      </c>
      <c r="D279">
        <v>28</v>
      </c>
      <c r="E279">
        <v>20</v>
      </c>
    </row>
    <row r="280" spans="1:5" x14ac:dyDescent="0.3">
      <c r="A280">
        <v>8</v>
      </c>
      <c r="B280">
        <v>12</v>
      </c>
      <c r="C280">
        <v>12</v>
      </c>
      <c r="D280">
        <v>23</v>
      </c>
      <c r="E280">
        <v>19</v>
      </c>
    </row>
    <row r="281" spans="1:5" x14ac:dyDescent="0.3">
      <c r="A281">
        <v>12</v>
      </c>
      <c r="B281">
        <v>20</v>
      </c>
      <c r="C281">
        <v>19</v>
      </c>
      <c r="D281">
        <v>28</v>
      </c>
      <c r="E281">
        <v>9</v>
      </c>
    </row>
    <row r="282" spans="1:5" x14ac:dyDescent="0.3">
      <c r="A282">
        <v>18</v>
      </c>
      <c r="B282">
        <v>28</v>
      </c>
      <c r="C282">
        <v>12</v>
      </c>
      <c r="D282">
        <v>17</v>
      </c>
      <c r="E282">
        <v>16</v>
      </c>
    </row>
    <row r="283" spans="1:5" x14ac:dyDescent="0.3">
      <c r="A283">
        <v>21</v>
      </c>
      <c r="B283">
        <v>35</v>
      </c>
      <c r="C283">
        <v>18</v>
      </c>
      <c r="D283">
        <v>25</v>
      </c>
      <c r="E283">
        <v>16</v>
      </c>
    </row>
    <row r="284" spans="1:5" x14ac:dyDescent="0.3">
      <c r="A284">
        <v>21</v>
      </c>
      <c r="B284">
        <v>35</v>
      </c>
      <c r="C284">
        <v>21</v>
      </c>
      <c r="D284">
        <v>28</v>
      </c>
      <c r="E284">
        <v>13</v>
      </c>
    </row>
    <row r="285" spans="1:5" x14ac:dyDescent="0.3">
      <c r="A285">
        <v>21</v>
      </c>
      <c r="B285">
        <v>35</v>
      </c>
      <c r="C285">
        <v>19</v>
      </c>
      <c r="D285">
        <v>27</v>
      </c>
      <c r="E285">
        <v>13</v>
      </c>
    </row>
    <row r="286" spans="1:5" x14ac:dyDescent="0.3">
      <c r="A286">
        <v>21</v>
      </c>
      <c r="B286">
        <v>35</v>
      </c>
      <c r="C286">
        <v>21</v>
      </c>
      <c r="D286">
        <v>27</v>
      </c>
      <c r="E286">
        <v>22</v>
      </c>
    </row>
    <row r="287" spans="1:5" x14ac:dyDescent="0.3">
      <c r="A287">
        <v>18</v>
      </c>
      <c r="B287">
        <v>30</v>
      </c>
      <c r="C287">
        <v>18</v>
      </c>
      <c r="D287">
        <v>23</v>
      </c>
      <c r="E287">
        <v>22</v>
      </c>
    </row>
    <row r="288" spans="1:5" x14ac:dyDescent="0.3">
      <c r="A288">
        <v>3</v>
      </c>
      <c r="B288">
        <v>5</v>
      </c>
      <c r="C288">
        <v>6</v>
      </c>
      <c r="D288">
        <v>18</v>
      </c>
      <c r="E288">
        <v>20</v>
      </c>
    </row>
    <row r="289" spans="1:5" x14ac:dyDescent="0.3">
      <c r="A289">
        <v>18</v>
      </c>
      <c r="B289">
        <v>34</v>
      </c>
      <c r="C289">
        <v>13</v>
      </c>
      <c r="D289">
        <v>18</v>
      </c>
      <c r="E289">
        <v>26</v>
      </c>
    </row>
    <row r="290" spans="1:5" x14ac:dyDescent="0.3">
      <c r="A290">
        <v>15</v>
      </c>
      <c r="B290">
        <v>26</v>
      </c>
      <c r="C290">
        <v>18</v>
      </c>
      <c r="D290">
        <v>22</v>
      </c>
      <c r="E290">
        <v>20</v>
      </c>
    </row>
    <row r="291" spans="1:5" x14ac:dyDescent="0.3">
      <c r="A291">
        <v>6</v>
      </c>
      <c r="B291">
        <v>10</v>
      </c>
      <c r="C291">
        <v>8</v>
      </c>
      <c r="D291">
        <v>19</v>
      </c>
      <c r="E291">
        <v>11</v>
      </c>
    </row>
    <row r="292" spans="1:5" x14ac:dyDescent="0.3">
      <c r="A292">
        <v>12</v>
      </c>
      <c r="B292">
        <v>26</v>
      </c>
      <c r="C292">
        <v>13</v>
      </c>
      <c r="D292">
        <v>26</v>
      </c>
      <c r="E292">
        <v>4</v>
      </c>
    </row>
    <row r="293" spans="1:5" x14ac:dyDescent="0.3">
      <c r="A293">
        <v>21</v>
      </c>
      <c r="B293">
        <v>35</v>
      </c>
      <c r="C293">
        <v>18</v>
      </c>
      <c r="D293">
        <v>20</v>
      </c>
      <c r="E293">
        <v>22</v>
      </c>
    </row>
    <row r="294" spans="1:5" x14ac:dyDescent="0.3">
      <c r="A294">
        <v>21</v>
      </c>
      <c r="B294">
        <v>35</v>
      </c>
      <c r="C294">
        <v>18</v>
      </c>
      <c r="D294">
        <v>24</v>
      </c>
      <c r="E294">
        <v>21</v>
      </c>
    </row>
    <row r="295" spans="1:5" x14ac:dyDescent="0.3">
      <c r="A295">
        <v>21</v>
      </c>
      <c r="B295">
        <v>35</v>
      </c>
      <c r="C295">
        <v>21</v>
      </c>
      <c r="D295">
        <v>26</v>
      </c>
      <c r="E295">
        <v>25</v>
      </c>
    </row>
    <row r="296" spans="1:5" x14ac:dyDescent="0.3">
      <c r="A296">
        <v>21</v>
      </c>
      <c r="B296">
        <v>35</v>
      </c>
      <c r="C296">
        <v>21</v>
      </c>
      <c r="D296">
        <v>28</v>
      </c>
      <c r="E296">
        <v>24</v>
      </c>
    </row>
    <row r="297" spans="1:5" x14ac:dyDescent="0.3">
      <c r="A297">
        <v>7</v>
      </c>
      <c r="B297">
        <v>10</v>
      </c>
      <c r="C297">
        <v>8</v>
      </c>
      <c r="D297">
        <v>17</v>
      </c>
      <c r="E297">
        <v>12</v>
      </c>
    </row>
    <row r="298" spans="1:5" x14ac:dyDescent="0.3">
      <c r="A298">
        <v>21</v>
      </c>
      <c r="B298">
        <v>35</v>
      </c>
      <c r="C298">
        <v>21</v>
      </c>
      <c r="D298">
        <v>22</v>
      </c>
      <c r="E298">
        <v>20</v>
      </c>
    </row>
    <row r="299" spans="1:5" x14ac:dyDescent="0.3">
      <c r="A299">
        <v>17</v>
      </c>
      <c r="B299">
        <v>30</v>
      </c>
      <c r="C299">
        <v>17</v>
      </c>
      <c r="D299">
        <v>23</v>
      </c>
      <c r="E299">
        <v>17</v>
      </c>
    </row>
    <row r="300" spans="1:5" x14ac:dyDescent="0.3">
      <c r="A300">
        <v>18</v>
      </c>
      <c r="B300">
        <v>33</v>
      </c>
      <c r="C300">
        <v>18</v>
      </c>
      <c r="D300">
        <v>26</v>
      </c>
      <c r="E300">
        <v>22</v>
      </c>
    </row>
    <row r="301" spans="1:5" x14ac:dyDescent="0.3">
      <c r="A301">
        <v>14</v>
      </c>
      <c r="B301">
        <v>26</v>
      </c>
      <c r="C301">
        <v>18</v>
      </c>
      <c r="D301">
        <v>24</v>
      </c>
      <c r="E301">
        <v>8</v>
      </c>
    </row>
    <row r="302" spans="1:5" x14ac:dyDescent="0.3">
      <c r="A302">
        <v>18</v>
      </c>
      <c r="B302">
        <v>30</v>
      </c>
      <c r="C302">
        <v>15</v>
      </c>
      <c r="D302">
        <v>23</v>
      </c>
      <c r="E302">
        <v>10</v>
      </c>
    </row>
    <row r="303" spans="1:5" x14ac:dyDescent="0.3">
      <c r="A303">
        <v>11</v>
      </c>
      <c r="B303">
        <v>16</v>
      </c>
      <c r="C303">
        <v>12</v>
      </c>
      <c r="D303">
        <v>18</v>
      </c>
      <c r="E303">
        <v>20</v>
      </c>
    </row>
    <row r="304" spans="1:5" x14ac:dyDescent="0.3">
      <c r="A304">
        <v>21</v>
      </c>
      <c r="B304">
        <v>35</v>
      </c>
      <c r="C304">
        <v>21</v>
      </c>
      <c r="D304">
        <v>28</v>
      </c>
      <c r="E304">
        <v>22</v>
      </c>
    </row>
    <row r="305" spans="1:5" x14ac:dyDescent="0.3">
      <c r="A305">
        <v>18</v>
      </c>
      <c r="B305">
        <v>35</v>
      </c>
      <c r="C305">
        <v>18</v>
      </c>
      <c r="D305">
        <v>25</v>
      </c>
      <c r="E305">
        <v>23</v>
      </c>
    </row>
    <row r="306" spans="1:5" x14ac:dyDescent="0.3">
      <c r="A306">
        <v>18</v>
      </c>
      <c r="B306">
        <v>35</v>
      </c>
      <c r="C306">
        <v>21</v>
      </c>
      <c r="D306">
        <v>22</v>
      </c>
      <c r="E306">
        <v>19</v>
      </c>
    </row>
    <row r="307" spans="1:5" x14ac:dyDescent="0.3">
      <c r="A307">
        <v>18</v>
      </c>
      <c r="B307">
        <v>25</v>
      </c>
      <c r="C307">
        <v>15</v>
      </c>
      <c r="D307">
        <v>22</v>
      </c>
      <c r="E307">
        <v>7</v>
      </c>
    </row>
    <row r="308" spans="1:5" x14ac:dyDescent="0.3">
      <c r="A308">
        <v>21</v>
      </c>
      <c r="B308">
        <v>35</v>
      </c>
      <c r="C308">
        <v>17</v>
      </c>
      <c r="D308">
        <v>26</v>
      </c>
      <c r="E308">
        <v>9</v>
      </c>
    </row>
    <row r="309" spans="1:5" x14ac:dyDescent="0.3">
      <c r="A309">
        <v>18</v>
      </c>
      <c r="B309">
        <v>30</v>
      </c>
      <c r="C309">
        <v>18</v>
      </c>
      <c r="D309">
        <v>25</v>
      </c>
      <c r="E309">
        <v>19</v>
      </c>
    </row>
    <row r="310" spans="1:5" x14ac:dyDescent="0.3">
      <c r="A310">
        <v>19</v>
      </c>
      <c r="B310">
        <v>35</v>
      </c>
      <c r="C310">
        <v>21</v>
      </c>
      <c r="D310">
        <v>28</v>
      </c>
      <c r="E310">
        <v>25</v>
      </c>
    </row>
    <row r="311" spans="1:5" x14ac:dyDescent="0.3">
      <c r="A311">
        <v>21</v>
      </c>
      <c r="B311">
        <v>35</v>
      </c>
      <c r="C311">
        <v>18</v>
      </c>
      <c r="D311">
        <v>24</v>
      </c>
      <c r="E311">
        <v>20</v>
      </c>
    </row>
    <row r="312" spans="1:5" x14ac:dyDescent="0.3">
      <c r="A312">
        <v>21</v>
      </c>
      <c r="B312">
        <v>35</v>
      </c>
      <c r="C312">
        <v>21</v>
      </c>
      <c r="D312">
        <v>28</v>
      </c>
      <c r="E312">
        <v>20</v>
      </c>
    </row>
    <row r="313" spans="1:5" x14ac:dyDescent="0.3">
      <c r="A313">
        <v>21</v>
      </c>
      <c r="B313">
        <v>35</v>
      </c>
      <c r="C313">
        <v>14</v>
      </c>
      <c r="D313">
        <v>19</v>
      </c>
      <c r="E313">
        <v>21</v>
      </c>
    </row>
    <row r="314" spans="1:5" x14ac:dyDescent="0.3">
      <c r="A314">
        <v>18</v>
      </c>
      <c r="B314">
        <v>30</v>
      </c>
      <c r="C314">
        <v>18</v>
      </c>
      <c r="D314">
        <v>18</v>
      </c>
      <c r="E314">
        <v>14</v>
      </c>
    </row>
    <row r="315" spans="1:5" x14ac:dyDescent="0.3">
      <c r="A315">
        <v>18</v>
      </c>
      <c r="B315">
        <v>30</v>
      </c>
      <c r="C315">
        <v>15</v>
      </c>
      <c r="D315">
        <v>24</v>
      </c>
      <c r="E315">
        <v>20</v>
      </c>
    </row>
    <row r="316" spans="1:5" x14ac:dyDescent="0.3">
      <c r="A316">
        <v>13</v>
      </c>
      <c r="B316">
        <v>26</v>
      </c>
      <c r="C316">
        <v>12</v>
      </c>
      <c r="D316">
        <v>16</v>
      </c>
      <c r="E316">
        <v>17</v>
      </c>
    </row>
    <row r="317" spans="1:5" x14ac:dyDescent="0.3">
      <c r="A317">
        <v>21</v>
      </c>
      <c r="B317">
        <v>35</v>
      </c>
      <c r="C317">
        <v>21</v>
      </c>
      <c r="D317">
        <v>26</v>
      </c>
      <c r="E317">
        <v>18</v>
      </c>
    </row>
    <row r="318" spans="1:5" x14ac:dyDescent="0.3">
      <c r="A318">
        <v>16</v>
      </c>
      <c r="B318">
        <v>25</v>
      </c>
      <c r="C318">
        <v>15</v>
      </c>
      <c r="D318">
        <v>23</v>
      </c>
      <c r="E318">
        <v>22</v>
      </c>
    </row>
    <row r="319" spans="1:5" x14ac:dyDescent="0.3">
      <c r="A319">
        <v>14</v>
      </c>
      <c r="B319">
        <v>27</v>
      </c>
      <c r="C319">
        <v>20</v>
      </c>
      <c r="D319">
        <v>28</v>
      </c>
      <c r="E319">
        <v>18</v>
      </c>
    </row>
    <row r="320" spans="1:5" x14ac:dyDescent="0.3">
      <c r="A320">
        <v>19</v>
      </c>
      <c r="B320">
        <v>31</v>
      </c>
      <c r="C320">
        <v>18</v>
      </c>
      <c r="D320">
        <v>22</v>
      </c>
      <c r="E320">
        <v>22</v>
      </c>
    </row>
    <row r="321" spans="1:5" x14ac:dyDescent="0.3">
      <c r="A321">
        <v>20</v>
      </c>
      <c r="B321">
        <v>33</v>
      </c>
      <c r="C321">
        <v>19</v>
      </c>
      <c r="D321">
        <v>27</v>
      </c>
      <c r="E321">
        <v>19</v>
      </c>
    </row>
    <row r="322" spans="1:5" x14ac:dyDescent="0.3">
      <c r="A322">
        <v>21</v>
      </c>
      <c r="B322">
        <v>35</v>
      </c>
      <c r="C322">
        <v>18</v>
      </c>
      <c r="D322">
        <v>25</v>
      </c>
      <c r="E322">
        <v>23</v>
      </c>
    </row>
    <row r="323" spans="1:5" x14ac:dyDescent="0.3">
      <c r="A323">
        <v>9</v>
      </c>
      <c r="B323">
        <v>16</v>
      </c>
      <c r="C323">
        <v>15</v>
      </c>
      <c r="D323">
        <v>28</v>
      </c>
      <c r="E323">
        <v>21</v>
      </c>
    </row>
    <row r="324" spans="1:5" x14ac:dyDescent="0.3">
      <c r="A324">
        <v>21</v>
      </c>
      <c r="B324">
        <v>35</v>
      </c>
      <c r="C324">
        <v>17</v>
      </c>
      <c r="D324">
        <v>26</v>
      </c>
      <c r="E324">
        <v>18</v>
      </c>
    </row>
    <row r="325" spans="1:5" x14ac:dyDescent="0.3">
      <c r="A325">
        <v>16</v>
      </c>
      <c r="B325">
        <v>29</v>
      </c>
      <c r="C325">
        <v>13</v>
      </c>
      <c r="D325">
        <v>21</v>
      </c>
      <c r="E325">
        <v>27</v>
      </c>
    </row>
    <row r="326" spans="1:5" x14ac:dyDescent="0.3">
      <c r="A326">
        <v>18</v>
      </c>
      <c r="B326">
        <v>30</v>
      </c>
      <c r="C326">
        <v>18</v>
      </c>
      <c r="D326">
        <v>25</v>
      </c>
      <c r="E326">
        <v>17</v>
      </c>
    </row>
    <row r="327" spans="1:5" x14ac:dyDescent="0.3">
      <c r="A327">
        <v>21</v>
      </c>
      <c r="B327">
        <v>35</v>
      </c>
      <c r="C327">
        <v>21</v>
      </c>
      <c r="D327">
        <v>28</v>
      </c>
      <c r="E327">
        <v>25</v>
      </c>
    </row>
    <row r="328" spans="1:5" x14ac:dyDescent="0.3">
      <c r="A328">
        <v>21</v>
      </c>
      <c r="B328">
        <v>35</v>
      </c>
      <c r="C328">
        <v>21</v>
      </c>
      <c r="D328">
        <v>28</v>
      </c>
      <c r="E328">
        <v>20</v>
      </c>
    </row>
    <row r="329" spans="1:5" x14ac:dyDescent="0.3">
      <c r="A329">
        <v>21</v>
      </c>
      <c r="B329">
        <v>35</v>
      </c>
      <c r="C329">
        <v>21</v>
      </c>
      <c r="D329">
        <v>28</v>
      </c>
      <c r="E329">
        <v>12</v>
      </c>
    </row>
    <row r="330" spans="1:5" x14ac:dyDescent="0.3">
      <c r="A330">
        <v>21</v>
      </c>
      <c r="B330">
        <v>35</v>
      </c>
      <c r="C330">
        <v>21</v>
      </c>
      <c r="D330">
        <v>27</v>
      </c>
      <c r="E330">
        <v>11</v>
      </c>
    </row>
    <row r="331" spans="1:5" x14ac:dyDescent="0.3">
      <c r="A331">
        <v>21</v>
      </c>
      <c r="B331">
        <v>35</v>
      </c>
      <c r="C331">
        <v>21</v>
      </c>
      <c r="D331">
        <v>22</v>
      </c>
      <c r="E331">
        <v>23</v>
      </c>
    </row>
    <row r="332" spans="1:5" x14ac:dyDescent="0.3">
      <c r="A332">
        <v>11</v>
      </c>
      <c r="B332">
        <v>19</v>
      </c>
      <c r="C332">
        <v>15</v>
      </c>
      <c r="D332">
        <v>20</v>
      </c>
      <c r="E332">
        <v>14</v>
      </c>
    </row>
    <row r="333" spans="1:5" x14ac:dyDescent="0.3">
      <c r="A333">
        <v>21</v>
      </c>
      <c r="B333">
        <v>35</v>
      </c>
      <c r="C333">
        <v>21</v>
      </c>
      <c r="D333">
        <v>28</v>
      </c>
      <c r="E333">
        <v>20</v>
      </c>
    </row>
    <row r="334" spans="1:5" x14ac:dyDescent="0.3">
      <c r="A334">
        <v>21</v>
      </c>
      <c r="B334">
        <v>35</v>
      </c>
      <c r="C334">
        <v>21</v>
      </c>
      <c r="D334">
        <v>10</v>
      </c>
      <c r="E334">
        <v>12</v>
      </c>
    </row>
    <row r="335" spans="1:5" x14ac:dyDescent="0.3">
      <c r="A335">
        <v>21</v>
      </c>
      <c r="B335">
        <v>35</v>
      </c>
      <c r="C335">
        <v>19</v>
      </c>
      <c r="D335">
        <v>22</v>
      </c>
      <c r="E335">
        <v>12</v>
      </c>
    </row>
    <row r="336" spans="1:5" x14ac:dyDescent="0.3">
      <c r="A336">
        <v>21</v>
      </c>
      <c r="B336">
        <v>35</v>
      </c>
      <c r="C336">
        <v>19</v>
      </c>
      <c r="D336">
        <v>26</v>
      </c>
      <c r="E336">
        <v>21</v>
      </c>
    </row>
    <row r="337" spans="1:5" x14ac:dyDescent="0.3">
      <c r="A337">
        <v>18</v>
      </c>
      <c r="B337">
        <v>35</v>
      </c>
      <c r="C337">
        <v>18</v>
      </c>
      <c r="D337">
        <v>25</v>
      </c>
      <c r="E337">
        <v>16</v>
      </c>
    </row>
    <row r="338" spans="1:5" x14ac:dyDescent="0.3">
      <c r="A338">
        <v>8</v>
      </c>
      <c r="B338">
        <v>12</v>
      </c>
      <c r="C338">
        <v>11</v>
      </c>
      <c r="D338">
        <v>16</v>
      </c>
      <c r="E338">
        <v>13</v>
      </c>
    </row>
    <row r="339" spans="1:5" x14ac:dyDescent="0.3">
      <c r="A339">
        <v>21</v>
      </c>
      <c r="B339">
        <v>35</v>
      </c>
      <c r="C339">
        <v>20</v>
      </c>
      <c r="D339">
        <v>27</v>
      </c>
      <c r="E339">
        <v>18</v>
      </c>
    </row>
    <row r="340" spans="1:5" x14ac:dyDescent="0.3">
      <c r="A340">
        <v>18</v>
      </c>
      <c r="B340">
        <v>26</v>
      </c>
      <c r="C340">
        <v>18</v>
      </c>
      <c r="D340">
        <v>21</v>
      </c>
      <c r="E340">
        <v>19</v>
      </c>
    </row>
    <row r="341" spans="1:5" x14ac:dyDescent="0.3">
      <c r="A341">
        <v>21</v>
      </c>
      <c r="B341">
        <v>35</v>
      </c>
      <c r="C341">
        <v>21</v>
      </c>
      <c r="D341">
        <v>26</v>
      </c>
      <c r="E341">
        <v>17</v>
      </c>
    </row>
    <row r="342" spans="1:5" x14ac:dyDescent="0.3">
      <c r="A342">
        <v>21</v>
      </c>
      <c r="B342">
        <v>35</v>
      </c>
      <c r="C342">
        <v>21</v>
      </c>
      <c r="D342">
        <v>27</v>
      </c>
      <c r="E342">
        <v>15</v>
      </c>
    </row>
    <row r="343" spans="1:5" x14ac:dyDescent="0.3">
      <c r="A343">
        <v>21</v>
      </c>
      <c r="B343">
        <v>35</v>
      </c>
      <c r="C343">
        <v>20</v>
      </c>
      <c r="D343">
        <v>19</v>
      </c>
      <c r="E343">
        <v>24</v>
      </c>
    </row>
    <row r="344" spans="1:5" x14ac:dyDescent="0.3">
      <c r="A344">
        <v>14</v>
      </c>
      <c r="B344">
        <v>24</v>
      </c>
      <c r="C344">
        <v>15</v>
      </c>
      <c r="D344">
        <v>27</v>
      </c>
      <c r="E344">
        <v>12</v>
      </c>
    </row>
    <row r="345" spans="1:5" x14ac:dyDescent="0.3">
      <c r="A345">
        <v>20</v>
      </c>
      <c r="B345">
        <v>35</v>
      </c>
      <c r="C345">
        <v>20</v>
      </c>
      <c r="D345">
        <v>27</v>
      </c>
      <c r="E345">
        <v>18</v>
      </c>
    </row>
    <row r="346" spans="1:5" x14ac:dyDescent="0.3">
      <c r="A346">
        <v>21</v>
      </c>
      <c r="B346">
        <v>35</v>
      </c>
      <c r="C346">
        <v>21</v>
      </c>
      <c r="D346">
        <v>28</v>
      </c>
      <c r="E346">
        <v>26</v>
      </c>
    </row>
    <row r="347" spans="1:5" x14ac:dyDescent="0.3">
      <c r="A347">
        <v>12</v>
      </c>
      <c r="B347">
        <v>27</v>
      </c>
      <c r="C347">
        <v>9</v>
      </c>
      <c r="D347">
        <v>27</v>
      </c>
      <c r="E347">
        <v>14</v>
      </c>
    </row>
    <row r="348" spans="1:5" x14ac:dyDescent="0.3">
      <c r="A348">
        <v>21</v>
      </c>
      <c r="B348">
        <v>35</v>
      </c>
      <c r="C348">
        <v>21</v>
      </c>
      <c r="D348">
        <v>22</v>
      </c>
      <c r="E348">
        <v>22</v>
      </c>
    </row>
    <row r="349" spans="1:5" x14ac:dyDescent="0.3">
      <c r="A349">
        <v>19</v>
      </c>
      <c r="B349">
        <v>35</v>
      </c>
      <c r="C349">
        <v>18</v>
      </c>
      <c r="D349">
        <v>25</v>
      </c>
      <c r="E349">
        <v>22</v>
      </c>
    </row>
    <row r="350" spans="1:5" x14ac:dyDescent="0.3">
      <c r="A350">
        <v>19</v>
      </c>
      <c r="B350">
        <v>31</v>
      </c>
      <c r="C350">
        <v>20</v>
      </c>
      <c r="D350">
        <v>26</v>
      </c>
      <c r="E350">
        <v>21</v>
      </c>
    </row>
    <row r="351" spans="1:5" x14ac:dyDescent="0.3">
      <c r="A351">
        <v>21</v>
      </c>
      <c r="B351">
        <v>35</v>
      </c>
      <c r="C351">
        <v>18</v>
      </c>
      <c r="D351">
        <v>24</v>
      </c>
      <c r="E351">
        <v>5</v>
      </c>
    </row>
    <row r="352" spans="1:5" x14ac:dyDescent="0.3">
      <c r="A352">
        <v>16</v>
      </c>
      <c r="B352">
        <v>30</v>
      </c>
      <c r="C352">
        <v>21</v>
      </c>
      <c r="D352">
        <v>25</v>
      </c>
      <c r="E352">
        <v>9</v>
      </c>
    </row>
    <row r="353" spans="1:5" x14ac:dyDescent="0.3">
      <c r="A353">
        <v>17</v>
      </c>
      <c r="B353">
        <v>35</v>
      </c>
      <c r="C353">
        <v>18</v>
      </c>
      <c r="D353">
        <v>23</v>
      </c>
      <c r="E353">
        <v>18</v>
      </c>
    </row>
    <row r="354" spans="1:5" x14ac:dyDescent="0.3">
      <c r="A354">
        <v>21</v>
      </c>
      <c r="B354">
        <v>35</v>
      </c>
      <c r="C354">
        <v>18</v>
      </c>
      <c r="D354">
        <v>25</v>
      </c>
      <c r="E354">
        <v>15</v>
      </c>
    </row>
    <row r="355" spans="1:5" x14ac:dyDescent="0.3">
      <c r="A355">
        <v>12</v>
      </c>
      <c r="B355">
        <v>20</v>
      </c>
      <c r="C355">
        <v>11</v>
      </c>
      <c r="D355">
        <v>14</v>
      </c>
      <c r="E355">
        <v>16</v>
      </c>
    </row>
    <row r="356" spans="1:5" x14ac:dyDescent="0.3">
      <c r="A356">
        <v>18</v>
      </c>
      <c r="B356">
        <v>30</v>
      </c>
      <c r="C356">
        <v>18</v>
      </c>
      <c r="D356">
        <v>27</v>
      </c>
      <c r="E356">
        <v>20</v>
      </c>
    </row>
    <row r="357" spans="1:5" x14ac:dyDescent="0.3">
      <c r="A357">
        <v>21</v>
      </c>
      <c r="B357">
        <v>35</v>
      </c>
      <c r="C357">
        <v>21</v>
      </c>
      <c r="D357">
        <v>22</v>
      </c>
      <c r="E357">
        <v>28</v>
      </c>
    </row>
    <row r="358" spans="1:5" x14ac:dyDescent="0.3">
      <c r="A358">
        <v>20</v>
      </c>
      <c r="B358">
        <v>35</v>
      </c>
      <c r="C358">
        <v>21</v>
      </c>
      <c r="D358">
        <v>26</v>
      </c>
      <c r="E358">
        <v>25</v>
      </c>
    </row>
    <row r="359" spans="1:5" x14ac:dyDescent="0.3">
      <c r="A359">
        <v>21</v>
      </c>
      <c r="B359">
        <v>35</v>
      </c>
      <c r="C359">
        <v>21</v>
      </c>
      <c r="D359">
        <v>28</v>
      </c>
      <c r="E359">
        <v>23</v>
      </c>
    </row>
    <row r="360" spans="1:5" x14ac:dyDescent="0.3">
      <c r="A360">
        <v>15</v>
      </c>
      <c r="B360">
        <v>30</v>
      </c>
      <c r="C360">
        <v>18</v>
      </c>
      <c r="D360">
        <v>20</v>
      </c>
      <c r="E360">
        <v>20</v>
      </c>
    </row>
    <row r="361" spans="1:5" x14ac:dyDescent="0.3">
      <c r="A361">
        <v>17</v>
      </c>
      <c r="B361">
        <v>30</v>
      </c>
      <c r="C361">
        <v>19</v>
      </c>
      <c r="D361">
        <v>25</v>
      </c>
      <c r="E361">
        <v>18</v>
      </c>
    </row>
    <row r="362" spans="1:5" x14ac:dyDescent="0.3">
      <c r="A362">
        <v>18</v>
      </c>
      <c r="B362">
        <v>30</v>
      </c>
      <c r="C362">
        <v>17</v>
      </c>
      <c r="D362">
        <v>24</v>
      </c>
      <c r="E362">
        <v>16</v>
      </c>
    </row>
    <row r="363" spans="1:5" x14ac:dyDescent="0.3">
      <c r="A363">
        <v>21</v>
      </c>
      <c r="B363">
        <v>35</v>
      </c>
      <c r="C363">
        <v>20</v>
      </c>
      <c r="D363">
        <v>28</v>
      </c>
      <c r="E363">
        <v>27</v>
      </c>
    </row>
    <row r="364" spans="1:5" x14ac:dyDescent="0.3">
      <c r="A364">
        <v>21</v>
      </c>
      <c r="B364">
        <v>35</v>
      </c>
      <c r="C364">
        <v>21</v>
      </c>
      <c r="D364">
        <v>28</v>
      </c>
      <c r="E364">
        <v>28</v>
      </c>
    </row>
    <row r="365" spans="1:5" x14ac:dyDescent="0.3">
      <c r="A365">
        <v>21</v>
      </c>
      <c r="B365">
        <v>33</v>
      </c>
      <c r="C365">
        <v>20</v>
      </c>
      <c r="D365">
        <v>27</v>
      </c>
      <c r="E365">
        <v>20</v>
      </c>
    </row>
    <row r="366" spans="1:5" x14ac:dyDescent="0.3">
      <c r="A366">
        <v>18</v>
      </c>
      <c r="B366">
        <v>30</v>
      </c>
      <c r="C366">
        <v>20</v>
      </c>
      <c r="D366">
        <v>25</v>
      </c>
      <c r="E366">
        <v>14</v>
      </c>
    </row>
    <row r="367" spans="1:5" x14ac:dyDescent="0.3">
      <c r="A367">
        <v>21</v>
      </c>
      <c r="B367">
        <v>35</v>
      </c>
      <c r="C367">
        <v>21</v>
      </c>
      <c r="D367">
        <v>27</v>
      </c>
      <c r="E367">
        <v>25</v>
      </c>
    </row>
    <row r="368" spans="1:5" x14ac:dyDescent="0.3">
      <c r="A368">
        <v>20</v>
      </c>
      <c r="B368">
        <v>33</v>
      </c>
      <c r="C368">
        <v>15</v>
      </c>
      <c r="D368">
        <v>16</v>
      </c>
      <c r="E368">
        <v>16</v>
      </c>
    </row>
    <row r="369" spans="1:5" x14ac:dyDescent="0.3">
      <c r="A369">
        <v>21</v>
      </c>
      <c r="B369">
        <v>35</v>
      </c>
      <c r="C369">
        <v>21</v>
      </c>
      <c r="D369">
        <v>28</v>
      </c>
      <c r="E369">
        <v>28</v>
      </c>
    </row>
    <row r="370" spans="1:5" x14ac:dyDescent="0.3">
      <c r="A370">
        <v>21</v>
      </c>
      <c r="B370">
        <v>35</v>
      </c>
      <c r="C370">
        <v>18</v>
      </c>
      <c r="D370">
        <v>25</v>
      </c>
      <c r="E370">
        <v>20</v>
      </c>
    </row>
    <row r="371" spans="1:5" x14ac:dyDescent="0.3">
      <c r="A371">
        <v>21</v>
      </c>
      <c r="B371">
        <v>35</v>
      </c>
      <c r="C371">
        <v>21</v>
      </c>
      <c r="D371">
        <v>28</v>
      </c>
      <c r="E371">
        <v>23</v>
      </c>
    </row>
    <row r="372" spans="1:5" x14ac:dyDescent="0.3">
      <c r="A372">
        <v>21</v>
      </c>
      <c r="B372">
        <v>35</v>
      </c>
      <c r="C372">
        <v>21</v>
      </c>
      <c r="D372">
        <v>28</v>
      </c>
      <c r="E372">
        <v>28</v>
      </c>
    </row>
    <row r="373" spans="1:5" x14ac:dyDescent="0.3">
      <c r="A373">
        <v>17</v>
      </c>
      <c r="B373">
        <v>33</v>
      </c>
      <c r="C373">
        <v>14</v>
      </c>
      <c r="D373">
        <v>22</v>
      </c>
      <c r="E373">
        <v>21</v>
      </c>
    </row>
    <row r="374" spans="1:5" x14ac:dyDescent="0.3">
      <c r="A374">
        <v>21</v>
      </c>
      <c r="B374">
        <v>33</v>
      </c>
      <c r="C374">
        <v>16</v>
      </c>
      <c r="D374">
        <v>25</v>
      </c>
      <c r="E374">
        <v>12</v>
      </c>
    </row>
    <row r="375" spans="1:5" x14ac:dyDescent="0.3">
      <c r="A375">
        <v>21</v>
      </c>
      <c r="B375">
        <v>35</v>
      </c>
      <c r="C375">
        <v>21</v>
      </c>
      <c r="D375">
        <v>28</v>
      </c>
      <c r="E375">
        <v>18</v>
      </c>
    </row>
    <row r="376" spans="1:5" x14ac:dyDescent="0.3">
      <c r="A376">
        <v>19</v>
      </c>
      <c r="B376">
        <v>32</v>
      </c>
      <c r="C376">
        <v>18</v>
      </c>
      <c r="D376">
        <v>25</v>
      </c>
      <c r="E376">
        <v>18</v>
      </c>
    </row>
    <row r="377" spans="1:5" x14ac:dyDescent="0.3">
      <c r="A377">
        <v>21</v>
      </c>
      <c r="B377">
        <v>35</v>
      </c>
      <c r="C377">
        <v>21</v>
      </c>
      <c r="D377">
        <v>28</v>
      </c>
      <c r="E377">
        <v>13</v>
      </c>
    </row>
    <row r="378" spans="1:5" x14ac:dyDescent="0.3">
      <c r="A378">
        <v>21</v>
      </c>
      <c r="B378">
        <v>35</v>
      </c>
      <c r="C378">
        <v>21</v>
      </c>
      <c r="D378">
        <v>28</v>
      </c>
      <c r="E378">
        <v>15</v>
      </c>
    </row>
    <row r="379" spans="1:5" x14ac:dyDescent="0.3">
      <c r="A379">
        <v>14</v>
      </c>
      <c r="B379">
        <v>27</v>
      </c>
      <c r="C379">
        <v>17</v>
      </c>
      <c r="D379">
        <v>22</v>
      </c>
      <c r="E379">
        <v>17</v>
      </c>
    </row>
    <row r="380" spans="1:5" x14ac:dyDescent="0.3">
      <c r="A380">
        <v>18</v>
      </c>
      <c r="B380">
        <v>31</v>
      </c>
      <c r="C380">
        <v>18</v>
      </c>
      <c r="D380">
        <v>21</v>
      </c>
      <c r="E380">
        <v>8</v>
      </c>
    </row>
    <row r="381" spans="1:5" x14ac:dyDescent="0.3">
      <c r="A381">
        <v>21</v>
      </c>
      <c r="B381">
        <v>35</v>
      </c>
      <c r="C381">
        <v>16</v>
      </c>
      <c r="D381">
        <v>28</v>
      </c>
      <c r="E381">
        <v>17</v>
      </c>
    </row>
    <row r="382" spans="1:5" x14ac:dyDescent="0.3">
      <c r="A382">
        <v>21</v>
      </c>
      <c r="B382">
        <v>35</v>
      </c>
      <c r="C382">
        <v>21</v>
      </c>
      <c r="D382">
        <v>28</v>
      </c>
      <c r="E382">
        <v>28</v>
      </c>
    </row>
    <row r="383" spans="1:5" x14ac:dyDescent="0.3">
      <c r="A383">
        <v>3</v>
      </c>
      <c r="B383">
        <v>5</v>
      </c>
      <c r="C383">
        <v>3</v>
      </c>
      <c r="D383">
        <v>7</v>
      </c>
      <c r="E383">
        <v>22</v>
      </c>
    </row>
    <row r="384" spans="1:5" x14ac:dyDescent="0.3">
      <c r="A384">
        <v>8</v>
      </c>
      <c r="B384">
        <v>19</v>
      </c>
      <c r="C384">
        <v>12</v>
      </c>
      <c r="D384">
        <v>18</v>
      </c>
      <c r="E384">
        <v>7</v>
      </c>
    </row>
    <row r="385" spans="1:5" x14ac:dyDescent="0.3">
      <c r="A385">
        <v>19</v>
      </c>
      <c r="B385">
        <v>35</v>
      </c>
      <c r="C385">
        <v>18</v>
      </c>
      <c r="D385">
        <v>24</v>
      </c>
      <c r="E385">
        <v>19</v>
      </c>
    </row>
    <row r="386" spans="1:5" x14ac:dyDescent="0.3">
      <c r="A386">
        <v>18</v>
      </c>
      <c r="B386">
        <v>30</v>
      </c>
      <c r="C386">
        <v>18</v>
      </c>
      <c r="D386">
        <v>23</v>
      </c>
      <c r="E386">
        <v>19</v>
      </c>
    </row>
    <row r="387" spans="1:5" x14ac:dyDescent="0.3">
      <c r="A387">
        <v>18</v>
      </c>
      <c r="B387">
        <v>30</v>
      </c>
      <c r="C387">
        <v>14</v>
      </c>
      <c r="D387">
        <v>24</v>
      </c>
      <c r="E387">
        <v>10</v>
      </c>
    </row>
    <row r="388" spans="1:5" x14ac:dyDescent="0.3">
      <c r="A388">
        <v>19</v>
      </c>
      <c r="B388">
        <v>35</v>
      </c>
      <c r="C388">
        <v>15</v>
      </c>
      <c r="D388">
        <v>19</v>
      </c>
      <c r="E388">
        <v>22</v>
      </c>
    </row>
    <row r="389" spans="1:5" x14ac:dyDescent="0.3">
      <c r="A389">
        <v>18</v>
      </c>
      <c r="B389">
        <v>30</v>
      </c>
      <c r="C389">
        <v>18</v>
      </c>
      <c r="D389">
        <v>20</v>
      </c>
      <c r="E389">
        <v>16</v>
      </c>
    </row>
    <row r="390" spans="1:5" x14ac:dyDescent="0.3">
      <c r="A390">
        <v>21</v>
      </c>
      <c r="B390">
        <v>35</v>
      </c>
      <c r="C390">
        <v>18</v>
      </c>
      <c r="D390">
        <v>25</v>
      </c>
      <c r="E390">
        <v>19</v>
      </c>
    </row>
    <row r="391" spans="1:5" x14ac:dyDescent="0.3">
      <c r="A391">
        <v>21</v>
      </c>
      <c r="B391">
        <v>35</v>
      </c>
      <c r="C391">
        <v>21</v>
      </c>
      <c r="D391">
        <v>28</v>
      </c>
      <c r="E391">
        <v>25</v>
      </c>
    </row>
    <row r="392" spans="1:5" x14ac:dyDescent="0.3">
      <c r="A392">
        <v>5</v>
      </c>
      <c r="B392">
        <v>5</v>
      </c>
      <c r="C392">
        <v>14</v>
      </c>
      <c r="D392">
        <v>22</v>
      </c>
      <c r="E392">
        <v>25</v>
      </c>
    </row>
    <row r="393" spans="1:5" x14ac:dyDescent="0.3">
      <c r="A393">
        <v>16</v>
      </c>
      <c r="B393">
        <v>20</v>
      </c>
      <c r="C393">
        <v>15</v>
      </c>
      <c r="D393">
        <v>28</v>
      </c>
      <c r="E393">
        <v>23</v>
      </c>
    </row>
    <row r="394" spans="1:5" x14ac:dyDescent="0.3">
      <c r="A394">
        <v>21</v>
      </c>
      <c r="B394">
        <v>34</v>
      </c>
      <c r="C394">
        <v>16</v>
      </c>
      <c r="D394">
        <v>28</v>
      </c>
      <c r="E394">
        <v>19</v>
      </c>
    </row>
    <row r="395" spans="1:5" x14ac:dyDescent="0.3">
      <c r="A395">
        <v>21</v>
      </c>
      <c r="B395">
        <v>35</v>
      </c>
      <c r="C395">
        <v>21</v>
      </c>
      <c r="D395">
        <v>28</v>
      </c>
      <c r="E395">
        <v>26</v>
      </c>
    </row>
    <row r="396" spans="1:5" x14ac:dyDescent="0.3">
      <c r="A396">
        <v>16</v>
      </c>
      <c r="B396">
        <v>35</v>
      </c>
      <c r="C396">
        <v>18</v>
      </c>
      <c r="D396">
        <v>25</v>
      </c>
      <c r="E396">
        <v>13</v>
      </c>
    </row>
    <row r="397" spans="1:5" x14ac:dyDescent="0.3">
      <c r="A397">
        <v>21</v>
      </c>
      <c r="B397">
        <v>35</v>
      </c>
      <c r="C397">
        <v>20</v>
      </c>
      <c r="D397">
        <v>25</v>
      </c>
      <c r="E397">
        <v>23</v>
      </c>
    </row>
    <row r="398" spans="1:5" x14ac:dyDescent="0.3">
      <c r="A398">
        <v>8</v>
      </c>
      <c r="B398">
        <v>10</v>
      </c>
      <c r="C398">
        <v>12</v>
      </c>
      <c r="D398">
        <v>16</v>
      </c>
      <c r="E398">
        <v>11</v>
      </c>
    </row>
    <row r="399" spans="1:5" x14ac:dyDescent="0.3">
      <c r="A399">
        <v>21</v>
      </c>
      <c r="B399">
        <v>35</v>
      </c>
      <c r="C399">
        <v>21</v>
      </c>
      <c r="D399">
        <v>21</v>
      </c>
      <c r="E399">
        <v>19</v>
      </c>
    </row>
    <row r="400" spans="1:5" x14ac:dyDescent="0.3">
      <c r="A400">
        <v>21</v>
      </c>
      <c r="B400">
        <v>35</v>
      </c>
      <c r="C400">
        <v>21</v>
      </c>
      <c r="D400">
        <v>26</v>
      </c>
      <c r="E400">
        <v>21</v>
      </c>
    </row>
    <row r="401" spans="1:5" x14ac:dyDescent="0.3">
      <c r="A401">
        <v>20</v>
      </c>
      <c r="B401">
        <v>32</v>
      </c>
      <c r="C401">
        <v>20</v>
      </c>
      <c r="D401">
        <v>26</v>
      </c>
      <c r="E401">
        <v>25</v>
      </c>
    </row>
    <row r="402" spans="1:5" x14ac:dyDescent="0.3">
      <c r="A402">
        <v>21</v>
      </c>
      <c r="B402">
        <v>35</v>
      </c>
      <c r="C402">
        <v>21</v>
      </c>
      <c r="D402">
        <v>26</v>
      </c>
      <c r="E402">
        <v>28</v>
      </c>
    </row>
    <row r="403" spans="1:5" x14ac:dyDescent="0.3">
      <c r="A403">
        <v>15</v>
      </c>
      <c r="B403">
        <v>27</v>
      </c>
      <c r="C403">
        <v>18</v>
      </c>
      <c r="D403">
        <v>19</v>
      </c>
      <c r="E403">
        <v>19</v>
      </c>
    </row>
    <row r="404" spans="1:5" x14ac:dyDescent="0.3">
      <c r="A404">
        <v>21</v>
      </c>
      <c r="B404">
        <v>35</v>
      </c>
      <c r="C404">
        <v>21</v>
      </c>
      <c r="D404">
        <v>27</v>
      </c>
      <c r="E404">
        <v>19</v>
      </c>
    </row>
    <row r="405" spans="1:5" x14ac:dyDescent="0.3">
      <c r="A405">
        <v>21</v>
      </c>
      <c r="B405">
        <v>35</v>
      </c>
      <c r="C405">
        <v>18</v>
      </c>
      <c r="D405">
        <v>24</v>
      </c>
      <c r="E405">
        <v>19</v>
      </c>
    </row>
    <row r="406" spans="1:5" x14ac:dyDescent="0.3">
      <c r="A406">
        <v>21</v>
      </c>
      <c r="B406">
        <v>35</v>
      </c>
      <c r="C406">
        <v>21</v>
      </c>
      <c r="D406">
        <v>22</v>
      </c>
      <c r="E406">
        <v>20</v>
      </c>
    </row>
    <row r="407" spans="1:5" x14ac:dyDescent="0.3">
      <c r="A407">
        <v>8</v>
      </c>
      <c r="B407">
        <v>17</v>
      </c>
      <c r="C407">
        <v>10</v>
      </c>
      <c r="D407">
        <v>18</v>
      </c>
      <c r="E407">
        <v>11</v>
      </c>
    </row>
    <row r="408" spans="1:5" x14ac:dyDescent="0.3">
      <c r="A408">
        <v>18</v>
      </c>
      <c r="B408">
        <v>30</v>
      </c>
      <c r="C408">
        <v>15</v>
      </c>
      <c r="D408">
        <v>18</v>
      </c>
      <c r="E408">
        <v>14</v>
      </c>
    </row>
    <row r="409" spans="1:5" x14ac:dyDescent="0.3">
      <c r="A409">
        <v>21</v>
      </c>
      <c r="B409">
        <v>35</v>
      </c>
      <c r="C409">
        <v>21</v>
      </c>
      <c r="D409">
        <v>28</v>
      </c>
      <c r="E409">
        <v>23</v>
      </c>
    </row>
    <row r="410" spans="1:5" x14ac:dyDescent="0.3">
      <c r="A410">
        <v>17</v>
      </c>
      <c r="B410">
        <v>30</v>
      </c>
      <c r="C410">
        <v>18</v>
      </c>
      <c r="D410">
        <v>22</v>
      </c>
      <c r="E410">
        <v>12</v>
      </c>
    </row>
    <row r="411" spans="1:5" x14ac:dyDescent="0.3">
      <c r="A411">
        <v>21</v>
      </c>
      <c r="B411">
        <v>32</v>
      </c>
      <c r="C411">
        <v>18</v>
      </c>
      <c r="D411">
        <v>27</v>
      </c>
      <c r="E411">
        <v>9</v>
      </c>
    </row>
    <row r="412" spans="1:5" x14ac:dyDescent="0.3">
      <c r="A412">
        <v>21</v>
      </c>
      <c r="B412">
        <v>35</v>
      </c>
      <c r="C412">
        <v>21</v>
      </c>
      <c r="D412">
        <v>28</v>
      </c>
      <c r="E412">
        <v>14</v>
      </c>
    </row>
    <row r="413" spans="1:5" x14ac:dyDescent="0.3">
      <c r="A413">
        <v>21</v>
      </c>
      <c r="B413">
        <v>35</v>
      </c>
      <c r="C413">
        <v>21</v>
      </c>
      <c r="D413">
        <v>28</v>
      </c>
      <c r="E413">
        <v>5</v>
      </c>
    </row>
    <row r="414" spans="1:5" x14ac:dyDescent="0.3">
      <c r="A414">
        <v>16</v>
      </c>
      <c r="B414">
        <v>25</v>
      </c>
      <c r="C414">
        <v>15</v>
      </c>
      <c r="D414">
        <v>18</v>
      </c>
      <c r="E414">
        <v>10</v>
      </c>
    </row>
    <row r="415" spans="1:5" x14ac:dyDescent="0.3">
      <c r="A415">
        <v>21</v>
      </c>
      <c r="B415">
        <v>35</v>
      </c>
      <c r="C415">
        <v>19</v>
      </c>
      <c r="D415">
        <v>23</v>
      </c>
      <c r="E415">
        <v>19</v>
      </c>
    </row>
    <row r="416" spans="1:5" x14ac:dyDescent="0.3">
      <c r="A416">
        <v>12</v>
      </c>
      <c r="B416">
        <v>21</v>
      </c>
      <c r="C416">
        <v>15</v>
      </c>
      <c r="D416">
        <v>20</v>
      </c>
      <c r="E416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02D9-611E-47B4-80A8-9DE1E0A1627E}">
  <sheetPr codeName="Sheet4"/>
  <dimension ref="A1:F2971"/>
  <sheetViews>
    <sheetView workbookViewId="0">
      <selection activeCell="N17" sqref="N17"/>
    </sheetView>
  </sheetViews>
  <sheetFormatPr defaultRowHeight="14.4" x14ac:dyDescent="0.3"/>
  <cols>
    <col min="2" max="2" width="11.33203125" customWidth="1"/>
  </cols>
  <sheetData>
    <row r="1" spans="1:6" x14ac:dyDescent="0.3">
      <c r="A1" t="s">
        <v>2</v>
      </c>
      <c r="B1" t="s">
        <v>58</v>
      </c>
      <c r="C1" t="s">
        <v>73</v>
      </c>
      <c r="D1" t="s">
        <v>76</v>
      </c>
      <c r="E1" t="s">
        <v>74</v>
      </c>
      <c r="F1" t="s">
        <v>23</v>
      </c>
    </row>
    <row r="2" spans="1:6" x14ac:dyDescent="0.3">
      <c r="A2">
        <v>0.1</v>
      </c>
      <c r="B2" t="s">
        <v>90</v>
      </c>
      <c r="C2">
        <v>-0.99</v>
      </c>
      <c r="D2">
        <v>-2.6466524123622457</v>
      </c>
      <c r="E2">
        <v>6.3617983804455325E-2</v>
      </c>
      <c r="F2">
        <v>259.48963706919034</v>
      </c>
    </row>
    <row r="3" spans="1:6" x14ac:dyDescent="0.3">
      <c r="A3">
        <v>0.1</v>
      </c>
      <c r="B3" t="s">
        <v>90</v>
      </c>
      <c r="C3">
        <v>-0.98</v>
      </c>
      <c r="D3">
        <v>-2.2975599250672945</v>
      </c>
      <c r="E3">
        <v>6.1863893942010466E-2</v>
      </c>
      <c r="F3">
        <v>297.93597109979447</v>
      </c>
    </row>
    <row r="4" spans="1:6" x14ac:dyDescent="0.3">
      <c r="A4">
        <v>0.1</v>
      </c>
      <c r="B4" t="s">
        <v>90</v>
      </c>
      <c r="C4">
        <v>-0.97</v>
      </c>
      <c r="D4">
        <v>-2.0922957200349388</v>
      </c>
      <c r="E4">
        <v>6.0652639623625708E-2</v>
      </c>
      <c r="F4">
        <v>326.45317942744714</v>
      </c>
    </row>
    <row r="5" spans="1:6" x14ac:dyDescent="0.3">
      <c r="A5">
        <v>0.1</v>
      </c>
      <c r="B5" t="s">
        <v>90</v>
      </c>
      <c r="C5">
        <v>-0.96</v>
      </c>
      <c r="D5">
        <v>-1.9459101490553128</v>
      </c>
      <c r="E5">
        <v>5.9688072550124698E-2</v>
      </c>
      <c r="F5">
        <v>350.41524309450102</v>
      </c>
    </row>
    <row r="6" spans="1:6" x14ac:dyDescent="0.3">
      <c r="A6">
        <v>0.1</v>
      </c>
      <c r="B6" t="s">
        <v>90</v>
      </c>
      <c r="C6">
        <v>-0.95</v>
      </c>
      <c r="D6">
        <v>-1.8317808230648227</v>
      </c>
      <c r="E6">
        <v>5.8868183153572728E-2</v>
      </c>
      <c r="F6">
        <v>371.71634335485192</v>
      </c>
    </row>
    <row r="7" spans="1:6" x14ac:dyDescent="0.3">
      <c r="A7">
        <v>0.1</v>
      </c>
      <c r="B7" t="s">
        <v>90</v>
      </c>
      <c r="C7">
        <v>-0.94</v>
      </c>
      <c r="D7">
        <v>-1.7380493449176362</v>
      </c>
      <c r="E7">
        <v>5.8144477909169108E-2</v>
      </c>
      <c r="F7">
        <v>391.27176991593092</v>
      </c>
    </row>
    <row r="8" spans="1:6" x14ac:dyDescent="0.3">
      <c r="A8">
        <v>0.1</v>
      </c>
      <c r="B8" t="s">
        <v>90</v>
      </c>
      <c r="C8">
        <v>-0.93</v>
      </c>
      <c r="D8">
        <v>-1.6583900199247865</v>
      </c>
      <c r="E8">
        <v>5.7489789335978259E-2</v>
      </c>
      <c r="F8">
        <v>409.60253860889901</v>
      </c>
    </row>
    <row r="9" spans="1:6" x14ac:dyDescent="0.3">
      <c r="A9">
        <v>0.1</v>
      </c>
      <c r="B9" t="s">
        <v>90</v>
      </c>
      <c r="C9">
        <v>-0.92</v>
      </c>
      <c r="D9">
        <v>-1.5890269151739731</v>
      </c>
      <c r="E9">
        <v>5.6887176157104646E-2</v>
      </c>
      <c r="F9">
        <v>427.03754041527731</v>
      </c>
    </row>
    <row r="10" spans="1:6" x14ac:dyDescent="0.3">
      <c r="A10">
        <v>0.1</v>
      </c>
      <c r="B10" t="s">
        <v>90</v>
      </c>
      <c r="C10">
        <v>-0.91</v>
      </c>
      <c r="D10">
        <v>-1.5275244253552054</v>
      </c>
      <c r="E10">
        <v>5.6325322747045832E-2</v>
      </c>
      <c r="F10">
        <v>443.79992276056998</v>
      </c>
    </row>
    <row r="11" spans="1:6" x14ac:dyDescent="0.3">
      <c r="A11">
        <v>0.1</v>
      </c>
      <c r="B11" t="s">
        <v>90</v>
      </c>
      <c r="C11">
        <v>-0.9</v>
      </c>
      <c r="D11">
        <v>-1.4722194895832204</v>
      </c>
      <c r="E11">
        <v>5.579625134883337E-2</v>
      </c>
      <c r="F11">
        <v>460.04949585001617</v>
      </c>
    </row>
    <row r="12" spans="1:6" x14ac:dyDescent="0.3">
      <c r="A12">
        <v>0.1</v>
      </c>
      <c r="B12" t="s">
        <v>90</v>
      </c>
      <c r="C12">
        <v>-0.89</v>
      </c>
      <c r="D12">
        <v>-1.421925871130636</v>
      </c>
      <c r="E12">
        <v>5.5294095357054464E-2</v>
      </c>
      <c r="F12">
        <v>475.90567969609026</v>
      </c>
    </row>
    <row r="13" spans="1:6" x14ac:dyDescent="0.3">
      <c r="A13">
        <v>0.1</v>
      </c>
      <c r="B13" t="s">
        <v>90</v>
      </c>
      <c r="C13">
        <v>-0.88</v>
      </c>
      <c r="D13">
        <v>-1.3757676565209744</v>
      </c>
      <c r="E13">
        <v>5.4814422763923065E-2</v>
      </c>
      <c r="F13">
        <v>491.46084928602397</v>
      </c>
    </row>
    <row r="14" spans="1:6" x14ac:dyDescent="0.3">
      <c r="A14">
        <v>0.1</v>
      </c>
      <c r="B14" t="s">
        <v>90</v>
      </c>
      <c r="C14">
        <v>-0.87</v>
      </c>
      <c r="D14">
        <v>-1.333079629696525</v>
      </c>
      <c r="E14">
        <v>5.4353762978260098E-2</v>
      </c>
      <c r="F14">
        <v>506.78860199193701</v>
      </c>
    </row>
    <row r="15" spans="1:6" x14ac:dyDescent="0.3">
      <c r="A15">
        <v>0.1</v>
      </c>
      <c r="B15" t="s">
        <v>90</v>
      </c>
      <c r="C15">
        <v>-0.86</v>
      </c>
      <c r="D15">
        <v>-1.2933446720489712</v>
      </c>
      <c r="E15">
        <v>5.3909374813447507E-2</v>
      </c>
      <c r="F15">
        <v>521.94905701319499</v>
      </c>
    </row>
    <row r="16" spans="1:6" x14ac:dyDescent="0.3">
      <c r="A16">
        <v>0.1</v>
      </c>
      <c r="B16" t="s">
        <v>90</v>
      </c>
      <c r="C16">
        <v>-0.85</v>
      </c>
      <c r="D16">
        <v>-1.2561528119880574</v>
      </c>
      <c r="E16">
        <v>5.3479016371100099E-2</v>
      </c>
      <c r="F16">
        <v>536.99246239373065</v>
      </c>
    </row>
    <row r="17" spans="1:6" x14ac:dyDescent="0.3">
      <c r="A17">
        <v>0.1</v>
      </c>
      <c r="B17" t="s">
        <v>90</v>
      </c>
      <c r="C17">
        <v>-0.84</v>
      </c>
      <c r="D17">
        <v>-1.2211735176846021</v>
      </c>
      <c r="E17">
        <v>5.3060855505892207E-2</v>
      </c>
      <c r="F17">
        <v>551.96165246250325</v>
      </c>
    </row>
    <row r="18" spans="1:6" x14ac:dyDescent="0.3">
      <c r="A18">
        <v>0.1</v>
      </c>
      <c r="B18" t="s">
        <v>90</v>
      </c>
      <c r="C18">
        <v>-0.83</v>
      </c>
      <c r="D18">
        <v>-1.1881364043926024</v>
      </c>
      <c r="E18">
        <v>5.2653347457331481E-2</v>
      </c>
      <c r="F18">
        <v>566.89384213080143</v>
      </c>
    </row>
    <row r="19" spans="1:6" x14ac:dyDescent="0.3">
      <c r="A19">
        <v>0.1</v>
      </c>
      <c r="B19" t="s">
        <v>90</v>
      </c>
      <c r="C19">
        <v>-0.82</v>
      </c>
      <c r="D19">
        <v>-1.1568174645903151</v>
      </c>
      <c r="E19">
        <v>5.2255193035216578E-2</v>
      </c>
      <c r="F19">
        <v>581.82190590885455</v>
      </c>
    </row>
    <row r="20" spans="1:6" x14ac:dyDescent="0.3">
      <c r="A20">
        <v>0.1</v>
      </c>
      <c r="B20" t="s">
        <v>90</v>
      </c>
      <c r="C20">
        <v>-0.81</v>
      </c>
      <c r="D20">
        <v>-1.1270290260496929</v>
      </c>
      <c r="E20">
        <v>5.1865286373593271E-2</v>
      </c>
      <c r="F20">
        <v>596.77534884768033</v>
      </c>
    </row>
    <row r="21" spans="1:6" x14ac:dyDescent="0.3">
      <c r="A21">
        <v>0.1</v>
      </c>
      <c r="B21" t="s">
        <v>90</v>
      </c>
      <c r="C21">
        <v>-0.8</v>
      </c>
      <c r="D21">
        <v>-1.0986122886681098</v>
      </c>
      <c r="E21">
        <v>5.1482660129676991E-2</v>
      </c>
      <c r="F21">
        <v>611.78106138807163</v>
      </c>
    </row>
    <row r="22" spans="1:6" x14ac:dyDescent="0.3">
      <c r="A22">
        <v>0.1</v>
      </c>
      <c r="B22" t="s">
        <v>90</v>
      </c>
      <c r="C22">
        <v>-0.79</v>
      </c>
      <c r="D22">
        <v>-1.0714316840586662</v>
      </c>
      <c r="E22">
        <v>5.1106478385747285E-2</v>
      </c>
      <c r="F22">
        <v>626.8638773578034</v>
      </c>
    </row>
    <row r="23" spans="1:6" x14ac:dyDescent="0.3">
      <c r="A23">
        <v>0.1</v>
      </c>
      <c r="B23" t="s">
        <v>90</v>
      </c>
      <c r="C23">
        <v>-0.78</v>
      </c>
      <c r="D23">
        <v>-1.0453705484668847</v>
      </c>
      <c r="E23">
        <v>5.073599198749229E-2</v>
      </c>
      <c r="F23">
        <v>642.04704976068138</v>
      </c>
    </row>
    <row r="24" spans="1:6" x14ac:dyDescent="0.3">
      <c r="A24">
        <v>0.1</v>
      </c>
      <c r="B24" t="s">
        <v>90</v>
      </c>
      <c r="C24">
        <v>-0.77</v>
      </c>
      <c r="D24">
        <v>-1.0203277583223398</v>
      </c>
      <c r="E24">
        <v>5.0370566544285046E-2</v>
      </c>
      <c r="F24">
        <v>657.35257524161375</v>
      </c>
    </row>
    <row r="25" spans="1:6" x14ac:dyDescent="0.3">
      <c r="A25">
        <v>0.1</v>
      </c>
      <c r="B25" t="s">
        <v>90</v>
      </c>
      <c r="C25">
        <v>-0.76</v>
      </c>
      <c r="D25">
        <v>-0.99621508234510314</v>
      </c>
      <c r="E25">
        <v>5.0009604475480168E-2</v>
      </c>
      <c r="F25">
        <v>672.80155542427872</v>
      </c>
    </row>
    <row r="26" spans="1:6" x14ac:dyDescent="0.3">
      <c r="A26">
        <v>0.1</v>
      </c>
      <c r="B26" t="s">
        <v>90</v>
      </c>
      <c r="C26">
        <v>-0.75</v>
      </c>
      <c r="D26">
        <v>-0.97295507452765673</v>
      </c>
      <c r="E26">
        <v>4.9652594024004869E-2</v>
      </c>
      <c r="F26">
        <v>688.41438952284147</v>
      </c>
    </row>
    <row r="27" spans="1:6" x14ac:dyDescent="0.3">
      <c r="A27">
        <v>0.1</v>
      </c>
      <c r="B27" t="s">
        <v>90</v>
      </c>
      <c r="C27">
        <v>-0.74</v>
      </c>
      <c r="D27">
        <v>-0.95047938059652348</v>
      </c>
      <c r="E27">
        <v>4.9299047885959249E-2</v>
      </c>
      <c r="F27">
        <v>704.21104026487956</v>
      </c>
    </row>
    <row r="28" spans="1:6" x14ac:dyDescent="0.3">
      <c r="A28">
        <v>0.1</v>
      </c>
      <c r="B28" t="s">
        <v>90</v>
      </c>
      <c r="C28">
        <v>-0.73</v>
      </c>
      <c r="D28">
        <v>-0.92872736424672497</v>
      </c>
      <c r="E28">
        <v>4.8948526026755625E-2</v>
      </c>
      <c r="F28">
        <v>720.21118813765236</v>
      </c>
    </row>
    <row r="29" spans="1:6" x14ac:dyDescent="0.3">
      <c r="A29">
        <v>0.1</v>
      </c>
      <c r="B29" t="s">
        <v>90</v>
      </c>
      <c r="C29">
        <v>-0.72</v>
      </c>
      <c r="D29">
        <v>-0.90764498331912458</v>
      </c>
      <c r="E29">
        <v>4.8600666273072149E-2</v>
      </c>
      <c r="F29">
        <v>736.43434858416833</v>
      </c>
    </row>
    <row r="30" spans="1:6" x14ac:dyDescent="0.3">
      <c r="A30">
        <v>0.1</v>
      </c>
      <c r="B30" t="s">
        <v>90</v>
      </c>
      <c r="C30">
        <v>-0.71</v>
      </c>
      <c r="D30">
        <v>-0.88718386325809284</v>
      </c>
      <c r="E30">
        <v>4.8255053746359258E-2</v>
      </c>
      <c r="F30">
        <v>752.90016419507674</v>
      </c>
    </row>
    <row r="31" spans="1:6" x14ac:dyDescent="0.3">
      <c r="A31">
        <v>0.1</v>
      </c>
      <c r="B31" t="s">
        <v>90</v>
      </c>
      <c r="C31">
        <v>-0.7</v>
      </c>
      <c r="D31">
        <v>-0.86730052769405308</v>
      </c>
      <c r="E31">
        <v>4.7911386712532929E-2</v>
      </c>
      <c r="F31">
        <v>769.62833736049845</v>
      </c>
    </row>
    <row r="32" spans="1:6" x14ac:dyDescent="0.3">
      <c r="A32">
        <v>0.1</v>
      </c>
      <c r="B32" t="s">
        <v>90</v>
      </c>
      <c r="C32">
        <v>-0.69</v>
      </c>
      <c r="D32">
        <v>-0.84795575521896349</v>
      </c>
      <c r="E32">
        <v>4.7569354991378446E-2</v>
      </c>
      <c r="F32">
        <v>786.63889224538138</v>
      </c>
    </row>
    <row r="33" spans="1:6" x14ac:dyDescent="0.3">
      <c r="A33">
        <v>0.1</v>
      </c>
      <c r="B33" t="s">
        <v>90</v>
      </c>
      <c r="C33">
        <v>-0.68</v>
      </c>
      <c r="D33">
        <v>-0.82911403830176633</v>
      </c>
      <c r="E33">
        <v>4.7228636340948267E-2</v>
      </c>
      <c r="F33">
        <v>803.95230066629051</v>
      </c>
    </row>
    <row r="34" spans="1:6" x14ac:dyDescent="0.3">
      <c r="A34">
        <v>0.1</v>
      </c>
      <c r="B34" t="s">
        <v>90</v>
      </c>
      <c r="C34">
        <v>-0.67</v>
      </c>
      <c r="D34">
        <v>-0.81074312547513749</v>
      </c>
      <c r="E34">
        <v>4.6888966530431564E-2</v>
      </c>
      <c r="F34">
        <v>821.5895000119782</v>
      </c>
    </row>
    <row r="35" spans="1:6" x14ac:dyDescent="0.3">
      <c r="A35">
        <v>0.1</v>
      </c>
      <c r="B35" t="s">
        <v>90</v>
      </c>
      <c r="C35">
        <v>-0.66</v>
      </c>
      <c r="D35">
        <v>-0.79281363187019105</v>
      </c>
      <c r="E35">
        <v>4.6550074783488472E-2</v>
      </c>
      <c r="F35">
        <v>839.57208814548881</v>
      </c>
    </row>
    <row r="36" spans="1:6" x14ac:dyDescent="0.3">
      <c r="A36">
        <v>0.1</v>
      </c>
      <c r="B36" t="s">
        <v>90</v>
      </c>
      <c r="C36">
        <v>-0.65</v>
      </c>
      <c r="D36">
        <v>-0.7752987062055835</v>
      </c>
      <c r="E36">
        <v>4.6211738864435116E-2</v>
      </c>
      <c r="F36">
        <v>857.92235357713025</v>
      </c>
    </row>
    <row r="37" spans="1:6" x14ac:dyDescent="0.3">
      <c r="A37">
        <v>0.1</v>
      </c>
      <c r="B37" t="s">
        <v>90</v>
      </c>
      <c r="C37">
        <v>-0.64</v>
      </c>
      <c r="D37">
        <v>-0.7581737446840443</v>
      </c>
      <c r="E37">
        <v>4.5873676040266827E-2</v>
      </c>
      <c r="F37">
        <v>876.66355138383415</v>
      </c>
    </row>
    <row r="38" spans="1:6" x14ac:dyDescent="0.3">
      <c r="A38">
        <v>0.1</v>
      </c>
      <c r="B38" t="s">
        <v>90</v>
      </c>
      <c r="C38">
        <v>-0.63</v>
      </c>
      <c r="D38">
        <v>-0.74141614408126888</v>
      </c>
      <c r="E38">
        <v>4.5535688126790388E-2</v>
      </c>
      <c r="F38">
        <v>895.81979828418048</v>
      </c>
    </row>
    <row r="39" spans="1:6" x14ac:dyDescent="0.3">
      <c r="A39">
        <v>0.1</v>
      </c>
      <c r="B39" t="s">
        <v>90</v>
      </c>
      <c r="C39">
        <v>-0.62</v>
      </c>
      <c r="D39">
        <v>-0.72500508775299921</v>
      </c>
      <c r="E39">
        <v>4.5197552305482273E-2</v>
      </c>
      <c r="F39">
        <v>915.41635837081162</v>
      </c>
    </row>
    <row r="40" spans="1:6" x14ac:dyDescent="0.3">
      <c r="A40">
        <v>0.1</v>
      </c>
      <c r="B40" t="s">
        <v>90</v>
      </c>
      <c r="C40">
        <v>-0.61</v>
      </c>
      <c r="D40">
        <v>-0.7089213594274083</v>
      </c>
      <c r="E40">
        <v>4.4859055584666879E-2</v>
      </c>
      <c r="F40">
        <v>935.47971783329081</v>
      </c>
    </row>
    <row r="41" spans="1:6" x14ac:dyDescent="0.3">
      <c r="A41">
        <v>0.1</v>
      </c>
      <c r="B41" t="s">
        <v>90</v>
      </c>
      <c r="C41">
        <v>-0.6</v>
      </c>
      <c r="D41">
        <v>-0.69314718055994529</v>
      </c>
      <c r="E41">
        <v>4.4519985321894474E-2</v>
      </c>
      <c r="F41">
        <v>956.03773593685219</v>
      </c>
    </row>
    <row r="42" spans="1:6" x14ac:dyDescent="0.3">
      <c r="A42">
        <v>0.1</v>
      </c>
      <c r="B42" t="s">
        <v>90</v>
      </c>
      <c r="C42">
        <v>-0.59</v>
      </c>
      <c r="D42">
        <v>-0.67766606775796179</v>
      </c>
      <c r="E42">
        <v>4.4180114857372936E-2</v>
      </c>
      <c r="F42">
        <v>977.11981833957532</v>
      </c>
    </row>
    <row r="43" spans="1:6" x14ac:dyDescent="0.3">
      <c r="A43">
        <v>0.1</v>
      </c>
      <c r="B43" t="s">
        <v>90</v>
      </c>
      <c r="C43">
        <v>-0.57999999999999996</v>
      </c>
      <c r="D43">
        <v>-0.66246270737179924</v>
      </c>
      <c r="E43">
        <v>4.3839275102677155E-2</v>
      </c>
      <c r="F43">
        <v>998.75693642161866</v>
      </c>
    </row>
    <row r="44" spans="1:6" x14ac:dyDescent="0.3">
      <c r="A44">
        <v>0.1</v>
      </c>
      <c r="B44" t="s">
        <v>90</v>
      </c>
      <c r="C44">
        <v>-0.56999999999999995</v>
      </c>
      <c r="D44">
        <v>-0.64752284482737277</v>
      </c>
      <c r="E44">
        <v>4.349727665879477E-2</v>
      </c>
      <c r="F44">
        <v>1020.9819367680469</v>
      </c>
    </row>
    <row r="45" spans="1:6" x14ac:dyDescent="0.3">
      <c r="A45">
        <v>0.1</v>
      </c>
      <c r="B45" t="s">
        <v>90</v>
      </c>
      <c r="C45">
        <v>-0.56000000000000005</v>
      </c>
      <c r="D45">
        <v>-0.63283318666563804</v>
      </c>
      <c r="E45">
        <v>4.3153884790381812E-2</v>
      </c>
      <c r="F45">
        <v>1043.8297862124748</v>
      </c>
    </row>
    <row r="46" spans="1:6" x14ac:dyDescent="0.3">
      <c r="A46">
        <v>0.1</v>
      </c>
      <c r="B46" t="s">
        <v>90</v>
      </c>
      <c r="C46">
        <v>-0.55000000000000004</v>
      </c>
      <c r="D46">
        <v>-0.61838131357446346</v>
      </c>
      <c r="E46">
        <v>4.2808933661874528E-2</v>
      </c>
      <c r="F46">
        <v>1067.3375365447091</v>
      </c>
    </row>
    <row r="47" spans="1:6" x14ac:dyDescent="0.3">
      <c r="A47">
        <v>0.1</v>
      </c>
      <c r="B47" t="s">
        <v>90</v>
      </c>
      <c r="C47">
        <v>-0.54</v>
      </c>
      <c r="D47">
        <v>-0.60415560296226711</v>
      </c>
      <c r="E47">
        <v>4.2462223409857912E-2</v>
      </c>
      <c r="F47">
        <v>1091.544755259604</v>
      </c>
    </row>
    <row r="48" spans="1:6" x14ac:dyDescent="0.3">
      <c r="A48">
        <v>0.1</v>
      </c>
      <c r="B48" t="s">
        <v>90</v>
      </c>
      <c r="C48">
        <v>-0.53</v>
      </c>
      <c r="D48">
        <v>-0.59014515984118854</v>
      </c>
      <c r="E48">
        <v>4.2113575740562223E-2</v>
      </c>
      <c r="F48">
        <v>1116.4936486827912</v>
      </c>
    </row>
    <row r="49" spans="1:6" x14ac:dyDescent="0.3">
      <c r="A49">
        <v>0.1</v>
      </c>
      <c r="B49" t="s">
        <v>90</v>
      </c>
      <c r="C49">
        <v>-0.52</v>
      </c>
      <c r="D49">
        <v>-0.57633975496919276</v>
      </c>
      <c r="E49">
        <v>4.1762764303939902E-2</v>
      </c>
      <c r="F49">
        <v>1142.2294947033201</v>
      </c>
    </row>
    <row r="50" spans="1:6" x14ac:dyDescent="0.3">
      <c r="A50">
        <v>0.1</v>
      </c>
      <c r="B50" t="s">
        <v>90</v>
      </c>
      <c r="C50">
        <v>-0.51</v>
      </c>
      <c r="D50">
        <v>-0.56272976935214891</v>
      </c>
      <c r="E50">
        <v>4.1409618260236758E-2</v>
      </c>
      <c r="F50">
        <v>1168.8006932139756</v>
      </c>
    </row>
    <row r="51" spans="1:6" x14ac:dyDescent="0.3">
      <c r="A51">
        <v>0.1</v>
      </c>
      <c r="B51" t="s">
        <v>90</v>
      </c>
      <c r="C51">
        <v>-0.5</v>
      </c>
      <c r="D51">
        <v>-0.54930614433405489</v>
      </c>
      <c r="E51">
        <v>4.1053915148846334E-2</v>
      </c>
      <c r="F51">
        <v>1196.2593596784168</v>
      </c>
    </row>
    <row r="52" spans="1:6" x14ac:dyDescent="0.3">
      <c r="A52">
        <v>0.1</v>
      </c>
      <c r="B52" t="s">
        <v>90</v>
      </c>
      <c r="C52">
        <v>-0.49</v>
      </c>
      <c r="D52">
        <v>-0.53606033661056662</v>
      </c>
      <c r="E52">
        <v>4.0695480684764543E-2</v>
      </c>
      <c r="F52">
        <v>1224.661438737922</v>
      </c>
    </row>
    <row r="53" spans="1:6" x14ac:dyDescent="0.3">
      <c r="A53">
        <v>0.1</v>
      </c>
      <c r="B53" t="s">
        <v>90</v>
      </c>
      <c r="C53">
        <v>-0.48</v>
      </c>
      <c r="D53">
        <v>-0.5229842775913438</v>
      </c>
      <c r="E53">
        <v>4.0334097665206708E-2</v>
      </c>
      <c r="F53">
        <v>1254.0673578517233</v>
      </c>
    </row>
    <row r="54" spans="1:6" x14ac:dyDescent="0.3">
      <c r="A54">
        <v>0.1</v>
      </c>
      <c r="B54" t="s">
        <v>90</v>
      </c>
      <c r="C54">
        <v>-0.47</v>
      </c>
      <c r="D54">
        <v>-0.51007033661330725</v>
      </c>
      <c r="E54">
        <v>3.9969551781223689E-2</v>
      </c>
      <c r="F54">
        <v>1284.5423738144079</v>
      </c>
    </row>
    <row r="55" spans="1:6" x14ac:dyDescent="0.3">
      <c r="A55">
        <v>0.1</v>
      </c>
      <c r="B55" t="s">
        <v>90</v>
      </c>
      <c r="C55">
        <v>-0.46</v>
      </c>
      <c r="D55">
        <v>-0.49731128757203097</v>
      </c>
      <c r="E55">
        <v>3.9601624770528802E-2</v>
      </c>
      <c r="F55">
        <v>1316.1571135400648</v>
      </c>
    </row>
    <row r="56" spans="1:6" x14ac:dyDescent="0.3">
      <c r="A56">
        <v>0.1</v>
      </c>
      <c r="B56" t="s">
        <v>90</v>
      </c>
      <c r="C56">
        <v>-0.45</v>
      </c>
      <c r="D56">
        <v>-0.48470027859405168</v>
      </c>
      <c r="E56">
        <v>3.9230087049224309E-2</v>
      </c>
      <c r="F56">
        <v>1348.9881884675287</v>
      </c>
    </row>
    <row r="57" spans="1:6" x14ac:dyDescent="0.3">
      <c r="A57">
        <v>0.1</v>
      </c>
      <c r="B57" t="s">
        <v>90</v>
      </c>
      <c r="C57">
        <v>-0.44</v>
      </c>
      <c r="D57">
        <v>-0.47223080442042559</v>
      </c>
      <c r="E57">
        <v>3.8854723053508108E-2</v>
      </c>
      <c r="F57">
        <v>1383.1187781384256</v>
      </c>
    </row>
    <row r="58" spans="1:6" x14ac:dyDescent="0.3">
      <c r="A58">
        <v>0.1</v>
      </c>
      <c r="B58" t="s">
        <v>90</v>
      </c>
      <c r="C58">
        <v>-0.43</v>
      </c>
      <c r="D58">
        <v>-0.45989668121267852</v>
      </c>
      <c r="E58">
        <v>3.8475305736925203E-2</v>
      </c>
      <c r="F58">
        <v>1418.6394663236422</v>
      </c>
    </row>
    <row r="59" spans="1:6" x14ac:dyDescent="0.3">
      <c r="A59">
        <v>0.1</v>
      </c>
      <c r="B59" t="s">
        <v>90</v>
      </c>
      <c r="C59">
        <v>-0.42</v>
      </c>
      <c r="D59">
        <v>-0.4476920235274206</v>
      </c>
      <c r="E59">
        <v>3.809155501344641E-2</v>
      </c>
      <c r="F59">
        <v>1455.6492662713547</v>
      </c>
    </row>
    <row r="60" spans="1:6" x14ac:dyDescent="0.3">
      <c r="A60">
        <v>0.1</v>
      </c>
      <c r="B60" t="s">
        <v>90</v>
      </c>
      <c r="C60">
        <v>-0.41</v>
      </c>
      <c r="D60">
        <v>-0.43561122323622431</v>
      </c>
      <c r="E60">
        <v>3.7703243730088716E-2</v>
      </c>
      <c r="F60">
        <v>1494.2562206408172</v>
      </c>
    </row>
    <row r="61" spans="1:6" x14ac:dyDescent="0.3">
      <c r="A61">
        <v>0.1</v>
      </c>
      <c r="B61" t="s">
        <v>90</v>
      </c>
      <c r="C61">
        <v>-0.4</v>
      </c>
      <c r="D61">
        <v>-0.42364893019360178</v>
      </c>
      <c r="E61">
        <v>3.7310072939881971E-2</v>
      </c>
      <c r="F61">
        <v>1534.5790010590836</v>
      </c>
    </row>
    <row r="62" spans="1:6" x14ac:dyDescent="0.3">
      <c r="A62">
        <v>0.1</v>
      </c>
      <c r="B62" t="s">
        <v>90</v>
      </c>
      <c r="C62">
        <v>-0.39</v>
      </c>
      <c r="D62">
        <v>-0.41180003447869035</v>
      </c>
      <c r="E62">
        <v>3.6911792591388486E-2</v>
      </c>
      <c r="F62">
        <v>1576.7477339585812</v>
      </c>
    </row>
    <row r="63" spans="1:6" x14ac:dyDescent="0.3">
      <c r="A63">
        <v>0.1</v>
      </c>
      <c r="B63" t="s">
        <v>90</v>
      </c>
      <c r="C63">
        <v>-0.38</v>
      </c>
      <c r="D63">
        <v>-0.40005965005605654</v>
      </c>
      <c r="E63">
        <v>3.650810964766496E-2</v>
      </c>
      <c r="F63">
        <v>1620.905863923887</v>
      </c>
    </row>
    <row r="64" spans="1:6" x14ac:dyDescent="0.3">
      <c r="A64">
        <v>0.1</v>
      </c>
      <c r="B64" t="s">
        <v>90</v>
      </c>
      <c r="C64">
        <v>-0.37</v>
      </c>
      <c r="D64">
        <v>-0.38842309971829614</v>
      </c>
      <c r="E64">
        <v>3.6098694541111732E-2</v>
      </c>
      <c r="F64">
        <v>1667.2118897126768</v>
      </c>
    </row>
    <row r="65" spans="1:6" x14ac:dyDescent="0.3">
      <c r="A65">
        <v>0.1</v>
      </c>
      <c r="B65" t="s">
        <v>90</v>
      </c>
      <c r="C65">
        <v>-0.36</v>
      </c>
      <c r="D65">
        <v>-0.37688590118819004</v>
      </c>
      <c r="E65">
        <v>3.5683218892935568E-2</v>
      </c>
      <c r="F65">
        <v>1715.8412162227719</v>
      </c>
    </row>
    <row r="66" spans="1:6" x14ac:dyDescent="0.3">
      <c r="A66">
        <v>0.1</v>
      </c>
      <c r="B66" t="s">
        <v>90</v>
      </c>
      <c r="C66">
        <v>-0.35</v>
      </c>
      <c r="D66">
        <v>-0.36544375427139619</v>
      </c>
      <c r="E66">
        <v>3.5261344510744169E-2</v>
      </c>
      <c r="F66">
        <v>1766.9885487094307</v>
      </c>
    </row>
    <row r="67" spans="1:6" x14ac:dyDescent="0.3">
      <c r="A67">
        <v>0.1</v>
      </c>
      <c r="B67" t="s">
        <v>90</v>
      </c>
      <c r="C67">
        <v>-0.34</v>
      </c>
      <c r="D67">
        <v>-0.35409252896224297</v>
      </c>
      <c r="E67">
        <v>3.4832728243831539E-2</v>
      </c>
      <c r="F67">
        <v>1820.8706125751253</v>
      </c>
    </row>
    <row r="68" spans="1:6" x14ac:dyDescent="0.3">
      <c r="A68">
        <v>0.1</v>
      </c>
      <c r="B68" t="s">
        <v>90</v>
      </c>
      <c r="C68">
        <v>-0.33</v>
      </c>
      <c r="D68">
        <v>-0.34282825441539394</v>
      </c>
      <c r="E68">
        <v>3.4396948533840649E-2</v>
      </c>
      <c r="F68">
        <v>1877.7298199448048</v>
      </c>
    </row>
    <row r="69" spans="1:6" x14ac:dyDescent="0.3">
      <c r="A69">
        <v>0.1</v>
      </c>
      <c r="B69" t="s">
        <v>90</v>
      </c>
      <c r="C69">
        <v>-0.32</v>
      </c>
      <c r="D69">
        <v>-0.3316471087051322</v>
      </c>
      <c r="E69">
        <v>3.3953589350883058E-2</v>
      </c>
      <c r="F69">
        <v>1937.8376645568089</v>
      </c>
    </row>
    <row r="70" spans="1:6" x14ac:dyDescent="0.3">
      <c r="A70">
        <v>0.1</v>
      </c>
      <c r="B70" t="s">
        <v>90</v>
      </c>
      <c r="C70">
        <v>-0.31</v>
      </c>
      <c r="D70">
        <v>-0.32054540930194608</v>
      </c>
      <c r="E70">
        <v>3.3502228757965061E-2</v>
      </c>
      <c r="F70">
        <v>2001.4993127721118</v>
      </c>
    </row>
    <row r="71" spans="1:6" x14ac:dyDescent="0.3">
      <c r="A71">
        <v>0.1</v>
      </c>
      <c r="B71" t="s">
        <v>90</v>
      </c>
      <c r="C71">
        <v>-0.3</v>
      </c>
      <c r="D71">
        <v>-0.30951960420311175</v>
      </c>
      <c r="E71">
        <v>3.3042381698246283E-2</v>
      </c>
      <c r="F71">
        <v>2069.0594212684359</v>
      </c>
    </row>
    <row r="72" spans="1:6" x14ac:dyDescent="0.3">
      <c r="A72">
        <v>0.1</v>
      </c>
      <c r="B72" t="s">
        <v>90</v>
      </c>
      <c r="C72">
        <v>-0.28999999999999998</v>
      </c>
      <c r="D72">
        <v>-0.29856626366017835</v>
      </c>
      <c r="E72">
        <v>3.2573536158202819E-2</v>
      </c>
      <c r="F72">
        <v>2140.9084697481494</v>
      </c>
    </row>
    <row r="73" spans="1:6" x14ac:dyDescent="0.3">
      <c r="A73">
        <v>0.1</v>
      </c>
      <c r="B73" t="s">
        <v>90</v>
      </c>
      <c r="C73">
        <v>-0.28000000000000003</v>
      </c>
      <c r="D73">
        <v>-0.2876820724517809</v>
      </c>
      <c r="E73">
        <v>3.2095142583042871E-2</v>
      </c>
      <c r="F73">
        <v>2217.4907378040452</v>
      </c>
    </row>
    <row r="74" spans="1:6" x14ac:dyDescent="0.3">
      <c r="A74">
        <v>0.1</v>
      </c>
      <c r="B74" t="s">
        <v>90</v>
      </c>
      <c r="C74">
        <v>-0.27</v>
      </c>
      <c r="D74">
        <v>-0.27686382265510007</v>
      </c>
      <c r="E74">
        <v>3.1606603605345153E-2</v>
      </c>
      <c r="F74">
        <v>2299.3140016415614</v>
      </c>
    </row>
    <row r="75" spans="1:6" x14ac:dyDescent="0.3">
      <c r="A75">
        <v>0.1</v>
      </c>
      <c r="B75" t="s">
        <v>90</v>
      </c>
      <c r="C75">
        <v>-0.26</v>
      </c>
      <c r="D75">
        <v>-0.26610840687365411</v>
      </c>
      <c r="E75">
        <v>3.1107249069527432E-2</v>
      </c>
      <c r="F75">
        <v>2386.9615404324836</v>
      </c>
    </row>
    <row r="76" spans="1:6" x14ac:dyDescent="0.3">
      <c r="A76">
        <v>0.1</v>
      </c>
      <c r="B76" t="s">
        <v>90</v>
      </c>
      <c r="C76">
        <v>-0.25</v>
      </c>
      <c r="D76">
        <v>-0.25541281188299536</v>
      </c>
      <c r="E76">
        <v>3.0596401556868456E-2</v>
      </c>
      <c r="F76">
        <v>2481.106049919953</v>
      </c>
    </row>
    <row r="77" spans="1:6" x14ac:dyDescent="0.3">
      <c r="A77">
        <v>0.1</v>
      </c>
      <c r="B77" t="s">
        <v>90</v>
      </c>
      <c r="C77">
        <v>-0.24</v>
      </c>
      <c r="D77">
        <v>-0.24477411265935289</v>
      </c>
      <c r="E77">
        <v>3.007327631221942E-2</v>
      </c>
      <c r="F77">
        <v>2582.5285609655148</v>
      </c>
    </row>
    <row r="78" spans="1:6" x14ac:dyDescent="0.3">
      <c r="A78">
        <v>0.1</v>
      </c>
      <c r="B78" t="s">
        <v>90</v>
      </c>
      <c r="C78">
        <v>-0.23</v>
      </c>
      <c r="D78">
        <v>-0.23418946675936678</v>
      </c>
      <c r="E78">
        <v>2.9537002707340852E-2</v>
      </c>
      <c r="F78">
        <v>2692.1408963168442</v>
      </c>
    </row>
    <row r="79" spans="1:6" x14ac:dyDescent="0.3">
      <c r="A79">
        <v>0.1</v>
      </c>
      <c r="B79" t="s">
        <v>90</v>
      </c>
      <c r="C79">
        <v>-0.22</v>
      </c>
      <c r="D79">
        <v>-0.22365610902183239</v>
      </c>
      <c r="E79">
        <v>2.8986674535351791E-2</v>
      </c>
      <c r="F79">
        <v>2811.013590186179</v>
      </c>
    </row>
    <row r="80" spans="1:6" x14ac:dyDescent="0.3">
      <c r="A80">
        <v>0.1</v>
      </c>
      <c r="B80" t="s">
        <v>90</v>
      </c>
      <c r="C80">
        <v>-0.21</v>
      </c>
      <c r="D80">
        <v>-0.21317134656485975</v>
      </c>
      <c r="E80">
        <v>2.8421223201209257E-2</v>
      </c>
      <c r="F80">
        <v>2940.4137471523122</v>
      </c>
    </row>
    <row r="81" spans="1:6" x14ac:dyDescent="0.3">
      <c r="A81">
        <v>0.1</v>
      </c>
      <c r="B81" t="s">
        <v>90</v>
      </c>
      <c r="C81">
        <v>-0.2</v>
      </c>
      <c r="D81">
        <v>-0.20273255405408214</v>
      </c>
      <c r="E81">
        <v>2.7839513381597073E-2</v>
      </c>
      <c r="F81">
        <v>3081.8508251738667</v>
      </c>
    </row>
    <row r="82" spans="1:6" x14ac:dyDescent="0.3">
      <c r="A82">
        <v>0.1</v>
      </c>
      <c r="B82" t="s">
        <v>90</v>
      </c>
      <c r="C82">
        <v>-0.19</v>
      </c>
      <c r="D82">
        <v>-0.1923371692195453</v>
      </c>
      <c r="E82">
        <v>2.7240218629318125E-2</v>
      </c>
      <c r="F82">
        <v>3237.1395281244586</v>
      </c>
    </row>
    <row r="83" spans="1:6" x14ac:dyDescent="0.3">
      <c r="A83">
        <v>0.1</v>
      </c>
      <c r="B83" t="s">
        <v>90</v>
      </c>
      <c r="C83">
        <v>-0.18</v>
      </c>
      <c r="D83">
        <v>-0.18198268860070579</v>
      </c>
      <c r="E83">
        <v>2.6621888308817822E-2</v>
      </c>
      <c r="F83">
        <v>3408.4797461346498</v>
      </c>
    </row>
    <row r="84" spans="1:6" x14ac:dyDescent="0.3">
      <c r="A84">
        <v>0.1</v>
      </c>
      <c r="B84" t="s">
        <v>90</v>
      </c>
      <c r="C84">
        <v>-0.17</v>
      </c>
      <c r="D84">
        <v>-0.17166666350057908</v>
      </c>
      <c r="E84">
        <v>2.5982855048725422E-2</v>
      </c>
      <c r="F84">
        <v>3598.5662757774485</v>
      </c>
    </row>
    <row r="85" spans="1:6" x14ac:dyDescent="0.3">
      <c r="A85">
        <v>0.1</v>
      </c>
      <c r="B85" t="s">
        <v>90</v>
      </c>
      <c r="C85">
        <v>-0.16</v>
      </c>
      <c r="D85">
        <v>-0.16138669613152551</v>
      </c>
      <c r="E85">
        <v>2.5321216612136384E-2</v>
      </c>
      <c r="F85">
        <v>3810.7365222944309</v>
      </c>
    </row>
    <row r="86" spans="1:6" x14ac:dyDescent="0.3">
      <c r="A86">
        <v>0.1</v>
      </c>
      <c r="B86" t="s">
        <v>90</v>
      </c>
      <c r="C86">
        <v>-0.15</v>
      </c>
      <c r="D86">
        <v>-0.15114043593646675</v>
      </c>
      <c r="E86">
        <v>2.4634776122143431E-2</v>
      </c>
      <c r="F86">
        <v>4049.1754732523559</v>
      </c>
    </row>
    <row r="87" spans="1:6" x14ac:dyDescent="0.3">
      <c r="A87">
        <v>0.1</v>
      </c>
      <c r="B87" t="s">
        <v>90</v>
      </c>
      <c r="C87">
        <v>-0.14000000000000001</v>
      </c>
      <c r="D87">
        <v>-0.14092557607049394</v>
      </c>
      <c r="E87">
        <v>2.3920984536347868E-2</v>
      </c>
      <c r="F87">
        <v>4319.2043014508454</v>
      </c>
    </row>
    <row r="88" spans="1:6" x14ac:dyDescent="0.3">
      <c r="A88">
        <v>0.1</v>
      </c>
      <c r="B88" t="s">
        <v>90</v>
      </c>
      <c r="C88">
        <v>-0.13</v>
      </c>
      <c r="D88">
        <v>-0.13073985002887836</v>
      </c>
      <c r="E88">
        <v>2.317684331040519E-2</v>
      </c>
      <c r="F88">
        <v>4627.6966765757688</v>
      </c>
    </row>
    <row r="89" spans="1:6" x14ac:dyDescent="0.3">
      <c r="A89">
        <v>0.1</v>
      </c>
      <c r="B89" t="s">
        <v>90</v>
      </c>
      <c r="C89">
        <v>-0.12</v>
      </c>
      <c r="D89">
        <v>-0.12058102840844405</v>
      </c>
      <c r="E89">
        <v>2.2398782785559155E-2</v>
      </c>
      <c r="F89">
        <v>4983.693254138394</v>
      </c>
    </row>
    <row r="90" spans="1:6" x14ac:dyDescent="0.3">
      <c r="A90">
        <v>0.1</v>
      </c>
      <c r="B90" t="s">
        <v>90</v>
      </c>
      <c r="C90">
        <v>-0.11</v>
      </c>
      <c r="D90">
        <v>-0.1104469157900972</v>
      </c>
      <c r="E90">
        <v>2.1582489615609483E-2</v>
      </c>
      <c r="F90">
        <v>5399.3349428761203</v>
      </c>
    </row>
    <row r="91" spans="1:6" x14ac:dyDescent="0.3">
      <c r="A91">
        <v>0.1</v>
      </c>
      <c r="B91" t="s">
        <v>90</v>
      </c>
      <c r="C91">
        <v>-0.1</v>
      </c>
      <c r="D91">
        <v>-0.10033534773107562</v>
      </c>
      <c r="E91">
        <v>2.0722671544242583E-2</v>
      </c>
      <c r="F91">
        <v>5891.3264668506754</v>
      </c>
    </row>
    <row r="92" spans="1:6" x14ac:dyDescent="0.3">
      <c r="A92">
        <v>0.1</v>
      </c>
      <c r="B92" t="s">
        <v>90</v>
      </c>
      <c r="C92">
        <v>-0.09</v>
      </c>
      <c r="D92">
        <v>-9.0244187856146837E-2</v>
      </c>
      <c r="E92">
        <v>1.9812734719094949E-2</v>
      </c>
      <c r="F92">
        <v>6483.3196037736334</v>
      </c>
    </row>
    <row r="93" spans="1:6" x14ac:dyDescent="0.3">
      <c r="A93">
        <v>0.1</v>
      </c>
      <c r="B93" t="s">
        <v>90</v>
      </c>
      <c r="C93">
        <v>-0.08</v>
      </c>
      <c r="D93">
        <v>-8.0171325037589683E-2</v>
      </c>
      <c r="E93">
        <v>1.8844254425222168E-2</v>
      </c>
      <c r="F93">
        <v>7209.9774337322951</v>
      </c>
    </row>
    <row r="94" spans="1:6" x14ac:dyDescent="0.3">
      <c r="A94">
        <v>0.1</v>
      </c>
      <c r="B94" t="s">
        <v>90</v>
      </c>
      <c r="C94">
        <v>-7.0000000000000007E-2</v>
      </c>
      <c r="D94">
        <v>-7.0114670654325195E-2</v>
      </c>
      <c r="E94">
        <v>1.7806098372857491E-2</v>
      </c>
      <c r="F94">
        <v>8124.2980160492843</v>
      </c>
    </row>
    <row r="95" spans="1:6" x14ac:dyDescent="0.3">
      <c r="A95">
        <v>0.1</v>
      </c>
      <c r="B95" t="s">
        <v>90</v>
      </c>
      <c r="C95">
        <v>-0.06</v>
      </c>
      <c r="D95">
        <v>-6.007215592103167E-2</v>
      </c>
      <c r="E95">
        <v>1.6683149189913146E-2</v>
      </c>
      <c r="F95">
        <v>9311.7171121345327</v>
      </c>
    </row>
    <row r="96" spans="1:6" x14ac:dyDescent="0.3">
      <c r="A96">
        <v>0.1</v>
      </c>
      <c r="B96" t="s">
        <v>90</v>
      </c>
      <c r="C96">
        <v>-0.05</v>
      </c>
      <c r="D96">
        <v>-5.0041729278491327E-2</v>
      </c>
      <c r="E96">
        <v>1.5453824318970525E-2</v>
      </c>
      <c r="F96">
        <v>10919.770142513857</v>
      </c>
    </row>
    <row r="97" spans="1:6" x14ac:dyDescent="0.3">
      <c r="A97">
        <v>0.1</v>
      </c>
      <c r="B97" t="s">
        <v>90</v>
      </c>
      <c r="C97">
        <v>-0.04</v>
      </c>
      <c r="D97">
        <v>-4.0021353836768248E-2</v>
      </c>
      <c r="E97">
        <v>1.408533438921847E-2</v>
      </c>
      <c r="F97">
        <v>13228.051195936434</v>
      </c>
    </row>
    <row r="98" spans="1:6" x14ac:dyDescent="0.3">
      <c r="A98">
        <v>0.1</v>
      </c>
      <c r="B98" t="s">
        <v>90</v>
      </c>
      <c r="C98">
        <v>-0.03</v>
      </c>
      <c r="D98">
        <v>-3.000900486312652E-2</v>
      </c>
      <c r="E98">
        <v>1.2523282223541042E-2</v>
      </c>
      <c r="F98">
        <v>16842.143539685439</v>
      </c>
    </row>
    <row r="99" spans="1:6" x14ac:dyDescent="0.3">
      <c r="A99">
        <v>0.1</v>
      </c>
      <c r="B99" t="s">
        <v>90</v>
      </c>
      <c r="C99">
        <v>-0.02</v>
      </c>
      <c r="D99">
        <v>-2.0002667306849624E-2</v>
      </c>
      <c r="E99">
        <v>1.0663864389170606E-2</v>
      </c>
      <c r="F99">
        <v>23382.669229576124</v>
      </c>
    </row>
    <row r="100" spans="1:6" x14ac:dyDescent="0.3">
      <c r="A100">
        <v>0.1</v>
      </c>
      <c r="B100" t="s">
        <v>90</v>
      </c>
      <c r="C100">
        <v>-0.01</v>
      </c>
      <c r="D100">
        <v>-1.0000333353334771E-2</v>
      </c>
      <c r="E100">
        <v>8.2498535215063014E-3</v>
      </c>
      <c r="F100">
        <v>39343.306204672495</v>
      </c>
    </row>
    <row r="101" spans="1:6" x14ac:dyDescent="0.3">
      <c r="A101">
        <v>0.05</v>
      </c>
      <c r="B101" t="s">
        <v>90</v>
      </c>
      <c r="C101">
        <v>-0.99</v>
      </c>
      <c r="D101">
        <v>-2.6466524123622457</v>
      </c>
      <c r="E101">
        <v>7.5978165222937571E-2</v>
      </c>
      <c r="F101">
        <v>256.45483195880365</v>
      </c>
    </row>
    <row r="102" spans="1:6" x14ac:dyDescent="0.3">
      <c r="A102">
        <v>0.05</v>
      </c>
      <c r="B102" t="s">
        <v>90</v>
      </c>
      <c r="C102">
        <v>-0.98</v>
      </c>
      <c r="D102">
        <v>-2.2975599250672945</v>
      </c>
      <c r="E102">
        <v>7.3903200518074044E-2</v>
      </c>
      <c r="F102">
        <v>294.34703952675272</v>
      </c>
    </row>
    <row r="103" spans="1:6" x14ac:dyDescent="0.3">
      <c r="A103">
        <v>0.05</v>
      </c>
      <c r="B103" t="s">
        <v>90</v>
      </c>
      <c r="C103">
        <v>-0.97</v>
      </c>
      <c r="D103">
        <v>-2.0922957200349388</v>
      </c>
      <c r="E103">
        <v>7.2470164790339783E-2</v>
      </c>
      <c r="F103">
        <v>322.43831735032916</v>
      </c>
    </row>
    <row r="104" spans="1:6" x14ac:dyDescent="0.3">
      <c r="A104">
        <v>0.05</v>
      </c>
      <c r="B104" t="s">
        <v>90</v>
      </c>
      <c r="C104">
        <v>-0.96</v>
      </c>
      <c r="D104">
        <v>-1.9459101490553128</v>
      </c>
      <c r="E104">
        <v>7.1328839824533419E-2</v>
      </c>
      <c r="F104">
        <v>346.03292837709097</v>
      </c>
    </row>
    <row r="105" spans="1:6" x14ac:dyDescent="0.3">
      <c r="A105">
        <v>0.05</v>
      </c>
      <c r="B105" t="s">
        <v>90</v>
      </c>
      <c r="C105">
        <v>-0.95</v>
      </c>
      <c r="D105">
        <v>-1.8317808230648227</v>
      </c>
      <c r="E105">
        <v>7.0358604054358315E-2</v>
      </c>
      <c r="F105">
        <v>367.00020148776713</v>
      </c>
    </row>
    <row r="106" spans="1:6" x14ac:dyDescent="0.3">
      <c r="A106">
        <v>0.05</v>
      </c>
      <c r="B106" t="s">
        <v>90</v>
      </c>
      <c r="C106">
        <v>-0.94</v>
      </c>
      <c r="D106">
        <v>-1.7380493449176362</v>
      </c>
      <c r="E106">
        <v>6.9502128495188414E-2</v>
      </c>
      <c r="F106">
        <v>386.24330612374962</v>
      </c>
    </row>
    <row r="107" spans="1:6" x14ac:dyDescent="0.3">
      <c r="A107">
        <v>0.05</v>
      </c>
      <c r="B107" t="s">
        <v>90</v>
      </c>
      <c r="C107">
        <v>-0.93</v>
      </c>
      <c r="D107">
        <v>-1.6583900199247865</v>
      </c>
      <c r="E107">
        <v>6.8727257159769239E-2</v>
      </c>
      <c r="F107">
        <v>404.27631102137849</v>
      </c>
    </row>
    <row r="108" spans="1:6" x14ac:dyDescent="0.3">
      <c r="A108">
        <v>0.05</v>
      </c>
      <c r="B108" t="s">
        <v>90</v>
      </c>
      <c r="C108">
        <v>-0.92</v>
      </c>
      <c r="D108">
        <v>-1.5890269151739731</v>
      </c>
      <c r="E108">
        <v>6.8013990015484638E-2</v>
      </c>
      <c r="F108">
        <v>421.42365722042939</v>
      </c>
    </row>
    <row r="109" spans="1:6" x14ac:dyDescent="0.3">
      <c r="A109">
        <v>0.05</v>
      </c>
      <c r="B109" t="s">
        <v>90</v>
      </c>
      <c r="C109">
        <v>-0.91</v>
      </c>
      <c r="D109">
        <v>-1.5275244253552054</v>
      </c>
      <c r="E109">
        <v>6.734891690639204E-2</v>
      </c>
      <c r="F109">
        <v>437.90546080015912</v>
      </c>
    </row>
    <row r="110" spans="1:6" x14ac:dyDescent="0.3">
      <c r="A110">
        <v>0.05</v>
      </c>
      <c r="B110" t="s">
        <v>90</v>
      </c>
      <c r="C110">
        <v>-0.9</v>
      </c>
      <c r="D110">
        <v>-1.4722194895832204</v>
      </c>
      <c r="E110">
        <v>6.6722615823442771E-2</v>
      </c>
      <c r="F110">
        <v>453.87931472054237</v>
      </c>
    </row>
    <row r="111" spans="1:6" x14ac:dyDescent="0.3">
      <c r="A111">
        <v>0.05</v>
      </c>
      <c r="B111" t="s">
        <v>90</v>
      </c>
      <c r="C111">
        <v>-0.89</v>
      </c>
      <c r="D111">
        <v>-1.421925871130636</v>
      </c>
      <c r="E111">
        <v>6.6128151191137824E-2</v>
      </c>
      <c r="F111">
        <v>469.46295826399711</v>
      </c>
    </row>
    <row r="112" spans="1:6" x14ac:dyDescent="0.3">
      <c r="A112">
        <v>0.05</v>
      </c>
      <c r="B112" t="s">
        <v>90</v>
      </c>
      <c r="C112">
        <v>-0.88</v>
      </c>
      <c r="D112">
        <v>-1.3757676565209744</v>
      </c>
      <c r="E112">
        <v>6.5560261524461608E-2</v>
      </c>
      <c r="F112">
        <v>484.74745188668203</v>
      </c>
    </row>
    <row r="113" spans="1:6" x14ac:dyDescent="0.3">
      <c r="A113">
        <v>0.05</v>
      </c>
      <c r="B113" t="s">
        <v>90</v>
      </c>
      <c r="C113">
        <v>-0.87</v>
      </c>
      <c r="D113">
        <v>-1.333079629696525</v>
      </c>
      <c r="E113">
        <v>6.5014859577168224E-2</v>
      </c>
      <c r="F113">
        <v>499.80530377788921</v>
      </c>
    </row>
    <row r="114" spans="1:6" x14ac:dyDescent="0.3">
      <c r="A114">
        <v>0.05</v>
      </c>
      <c r="B114" t="s">
        <v>90</v>
      </c>
      <c r="C114">
        <v>-0.86</v>
      </c>
      <c r="D114">
        <v>-1.2933446720489712</v>
      </c>
      <c r="E114">
        <v>6.4488702000954842E-2</v>
      </c>
      <c r="F114">
        <v>514.69572618684435</v>
      </c>
    </row>
    <row r="115" spans="1:6" x14ac:dyDescent="0.3">
      <c r="A115">
        <v>0.05</v>
      </c>
      <c r="B115" t="s">
        <v>90</v>
      </c>
      <c r="C115">
        <v>-0.85</v>
      </c>
      <c r="D115">
        <v>-1.2561528119880574</v>
      </c>
      <c r="E115">
        <v>6.397912301198401E-2</v>
      </c>
      <c r="F115">
        <v>529.46819798253284</v>
      </c>
    </row>
    <row r="116" spans="1:6" x14ac:dyDescent="0.3">
      <c r="A116">
        <v>0.05</v>
      </c>
      <c r="B116" t="s">
        <v>90</v>
      </c>
      <c r="C116">
        <v>-0.84</v>
      </c>
      <c r="D116">
        <v>-1.2211735176846021</v>
      </c>
      <c r="E116">
        <v>6.3483970939375314E-2</v>
      </c>
      <c r="F116">
        <v>544.16485501301656</v>
      </c>
    </row>
    <row r="117" spans="1:6" x14ac:dyDescent="0.3">
      <c r="A117">
        <v>0.05</v>
      </c>
      <c r="B117" t="s">
        <v>90</v>
      </c>
      <c r="C117">
        <v>-0.83</v>
      </c>
      <c r="D117">
        <v>-1.1881364043926024</v>
      </c>
      <c r="E117">
        <v>6.300140667824583E-2</v>
      </c>
      <c r="F117">
        <v>558.82230342232629</v>
      </c>
    </row>
    <row r="118" spans="1:6" x14ac:dyDescent="0.3">
      <c r="A118">
        <v>0.05</v>
      </c>
      <c r="B118" t="s">
        <v>90</v>
      </c>
      <c r="C118">
        <v>-0.82</v>
      </c>
      <c r="D118">
        <v>-1.1568174645903151</v>
      </c>
      <c r="E118">
        <v>6.2529907460246184E-2</v>
      </c>
      <c r="F118">
        <v>573.4728395454631</v>
      </c>
    </row>
    <row r="119" spans="1:6" x14ac:dyDescent="0.3">
      <c r="A119">
        <v>0.05</v>
      </c>
      <c r="B119" t="s">
        <v>90</v>
      </c>
      <c r="C119">
        <v>-0.81</v>
      </c>
      <c r="D119">
        <v>-1.1270290260496929</v>
      </c>
      <c r="E119">
        <v>6.2068157610746487E-2</v>
      </c>
      <c r="F119">
        <v>588.1454433035376</v>
      </c>
    </row>
    <row r="120" spans="1:6" x14ac:dyDescent="0.3">
      <c r="A120">
        <v>0.05</v>
      </c>
      <c r="B120" t="s">
        <v>90</v>
      </c>
      <c r="C120">
        <v>-0.8</v>
      </c>
      <c r="D120">
        <v>-1.0986122886681098</v>
      </c>
      <c r="E120">
        <v>6.1614998578973644E-2</v>
      </c>
      <c r="F120">
        <v>602.86651566905368</v>
      </c>
    </row>
    <row r="121" spans="1:6" x14ac:dyDescent="0.3">
      <c r="A121">
        <v>0.05</v>
      </c>
      <c r="B121" t="s">
        <v>90</v>
      </c>
      <c r="C121">
        <v>-0.79</v>
      </c>
      <c r="D121">
        <v>-1.0714316840586662</v>
      </c>
      <c r="E121">
        <v>6.1169461576116385E-2</v>
      </c>
      <c r="F121">
        <v>617.66038959378568</v>
      </c>
    </row>
    <row r="122" spans="1:6" x14ac:dyDescent="0.3">
      <c r="A122">
        <v>0.05</v>
      </c>
      <c r="B122" t="s">
        <v>90</v>
      </c>
      <c r="C122">
        <v>-0.78</v>
      </c>
      <c r="D122">
        <v>-1.0453705484668847</v>
      </c>
      <c r="E122">
        <v>6.0730669356066865E-2</v>
      </c>
      <c r="F122">
        <v>632.54983920500911</v>
      </c>
    </row>
    <row r="123" spans="1:6" x14ac:dyDescent="0.3">
      <c r="A123">
        <v>0.05</v>
      </c>
      <c r="B123" t="s">
        <v>90</v>
      </c>
      <c r="C123">
        <v>-0.77</v>
      </c>
      <c r="D123">
        <v>-1.0203277583223398</v>
      </c>
      <c r="E123">
        <v>6.0297836265490477E-2</v>
      </c>
      <c r="F123">
        <v>647.55642596905909</v>
      </c>
    </row>
    <row r="124" spans="1:6" x14ac:dyDescent="0.3">
      <c r="A124">
        <v>0.05</v>
      </c>
      <c r="B124" t="s">
        <v>90</v>
      </c>
      <c r="C124">
        <v>-0.76</v>
      </c>
      <c r="D124">
        <v>-0.99621508234510314</v>
      </c>
      <c r="E124">
        <v>5.9870288029393849E-2</v>
      </c>
      <c r="F124">
        <v>662.70075949867305</v>
      </c>
    </row>
    <row r="125" spans="1:6" x14ac:dyDescent="0.3">
      <c r="A125">
        <v>0.05</v>
      </c>
      <c r="B125" t="s">
        <v>90</v>
      </c>
      <c r="C125">
        <v>-0.75</v>
      </c>
      <c r="D125">
        <v>-0.97295507452765673</v>
      </c>
      <c r="E125">
        <v>5.9447381317280182E-2</v>
      </c>
      <c r="F125">
        <v>678.00280975847659</v>
      </c>
    </row>
    <row r="126" spans="1:6" x14ac:dyDescent="0.3">
      <c r="A126">
        <v>0.05</v>
      </c>
      <c r="B126" t="s">
        <v>90</v>
      </c>
      <c r="C126">
        <v>-0.74</v>
      </c>
      <c r="D126">
        <v>-0.95047938059652348</v>
      </c>
      <c r="E126">
        <v>5.902858197473531E-2</v>
      </c>
      <c r="F126">
        <v>693.48202656134026</v>
      </c>
    </row>
    <row r="127" spans="1:6" x14ac:dyDescent="0.3">
      <c r="A127">
        <v>0.05</v>
      </c>
      <c r="B127" t="s">
        <v>90</v>
      </c>
      <c r="C127">
        <v>-0.73</v>
      </c>
      <c r="D127">
        <v>-0.92872736424672497</v>
      </c>
      <c r="E127">
        <v>5.8613361674174545E-2</v>
      </c>
      <c r="F127">
        <v>709.15761741170286</v>
      </c>
    </row>
    <row r="128" spans="1:6" x14ac:dyDescent="0.3">
      <c r="A128">
        <v>0.05</v>
      </c>
      <c r="B128" t="s">
        <v>90</v>
      </c>
      <c r="C128">
        <v>-0.72</v>
      </c>
      <c r="D128">
        <v>-0.90764498331912458</v>
      </c>
      <c r="E128">
        <v>5.8201247609211151E-2</v>
      </c>
      <c r="F128">
        <v>725.04864837988225</v>
      </c>
    </row>
    <row r="129" spans="1:6" x14ac:dyDescent="0.3">
      <c r="A129">
        <v>0.05</v>
      </c>
      <c r="B129" t="s">
        <v>90</v>
      </c>
      <c r="C129">
        <v>-0.71</v>
      </c>
      <c r="D129">
        <v>-0.88718386325809284</v>
      </c>
      <c r="E129">
        <v>5.7791808739994122E-2</v>
      </c>
      <c r="F129">
        <v>741.17419333535815</v>
      </c>
    </row>
    <row r="130" spans="1:6" x14ac:dyDescent="0.3">
      <c r="A130">
        <v>0.05</v>
      </c>
      <c r="B130" t="s">
        <v>90</v>
      </c>
      <c r="C130">
        <v>-0.7</v>
      </c>
      <c r="D130">
        <v>-0.86730052769405308</v>
      </c>
      <c r="E130">
        <v>5.7384650600652523E-2</v>
      </c>
      <c r="F130">
        <v>757.55346309202264</v>
      </c>
    </row>
    <row r="131" spans="1:6" x14ac:dyDescent="0.3">
      <c r="A131">
        <v>0.05</v>
      </c>
      <c r="B131" t="s">
        <v>90</v>
      </c>
      <c r="C131">
        <v>-0.69</v>
      </c>
      <c r="D131">
        <v>-0.84795575521896349</v>
      </c>
      <c r="E131">
        <v>5.6979401718591428E-2</v>
      </c>
      <c r="F131">
        <v>774.20593750973228</v>
      </c>
    </row>
    <row r="132" spans="1:6" x14ac:dyDescent="0.3">
      <c r="A132">
        <v>0.05</v>
      </c>
      <c r="B132" t="s">
        <v>90</v>
      </c>
      <c r="C132">
        <v>-0.68</v>
      </c>
      <c r="D132">
        <v>-0.82911403830176633</v>
      </c>
      <c r="E132">
        <v>5.6575707684776273E-2</v>
      </c>
      <c r="F132">
        <v>791.15148441842985</v>
      </c>
    </row>
    <row r="133" spans="1:6" x14ac:dyDescent="0.3">
      <c r="A133">
        <v>0.05</v>
      </c>
      <c r="B133" t="s">
        <v>90</v>
      </c>
      <c r="C133">
        <v>-0.67</v>
      </c>
      <c r="D133">
        <v>-0.81074312547513749</v>
      </c>
      <c r="E133">
        <v>5.6173261046949134E-2</v>
      </c>
      <c r="F133">
        <v>808.41042585364903</v>
      </c>
    </row>
    <row r="134" spans="1:6" x14ac:dyDescent="0.3">
      <c r="A134">
        <v>0.05</v>
      </c>
      <c r="B134" t="s">
        <v>90</v>
      </c>
      <c r="C134">
        <v>-0.66</v>
      </c>
      <c r="D134">
        <v>-0.79281363187019105</v>
      </c>
      <c r="E134">
        <v>5.5771717380612915E-2</v>
      </c>
      <c r="F134">
        <v>826.00375873255655</v>
      </c>
    </row>
    <row r="135" spans="1:6" x14ac:dyDescent="0.3">
      <c r="A135">
        <v>0.05</v>
      </c>
      <c r="B135" t="s">
        <v>90</v>
      </c>
      <c r="C135">
        <v>-0.65</v>
      </c>
      <c r="D135">
        <v>-0.7752987062055835</v>
      </c>
      <c r="E135">
        <v>5.5370788367270565E-2</v>
      </c>
      <c r="F135">
        <v>843.95313401571059</v>
      </c>
    </row>
    <row r="136" spans="1:6" x14ac:dyDescent="0.3">
      <c r="A136">
        <v>0.05</v>
      </c>
      <c r="B136" t="s">
        <v>90</v>
      </c>
      <c r="C136">
        <v>-0.64</v>
      </c>
      <c r="D136">
        <v>-0.7581737446840443</v>
      </c>
      <c r="E136">
        <v>5.4970206656791629E-2</v>
      </c>
      <c r="F136">
        <v>862.28100836862939</v>
      </c>
    </row>
    <row r="137" spans="1:6" x14ac:dyDescent="0.3">
      <c r="A137">
        <v>0.05</v>
      </c>
      <c r="B137" t="s">
        <v>90</v>
      </c>
      <c r="C137">
        <v>-0.63</v>
      </c>
      <c r="D137">
        <v>-0.74141614408126888</v>
      </c>
      <c r="E137">
        <v>5.4569681971683735E-2</v>
      </c>
      <c r="F137">
        <v>881.01082350023751</v>
      </c>
    </row>
    <row r="138" spans="1:6" x14ac:dyDescent="0.3">
      <c r="A138">
        <v>0.05</v>
      </c>
      <c r="B138" t="s">
        <v>90</v>
      </c>
      <c r="C138">
        <v>-0.62</v>
      </c>
      <c r="D138">
        <v>-0.72500508775299921</v>
      </c>
      <c r="E138">
        <v>5.4168961066040279E-2</v>
      </c>
      <c r="F138">
        <v>900.16703052407058</v>
      </c>
    </row>
    <row r="139" spans="1:6" x14ac:dyDescent="0.3">
      <c r="A139">
        <v>0.05</v>
      </c>
      <c r="B139" t="s">
        <v>90</v>
      </c>
      <c r="C139">
        <v>-0.61</v>
      </c>
      <c r="D139">
        <v>-0.7089213594274083</v>
      </c>
      <c r="E139">
        <v>5.3767804788827638E-2</v>
      </c>
      <c r="F139">
        <v>919.77524322132183</v>
      </c>
    </row>
    <row r="140" spans="1:6" x14ac:dyDescent="0.3">
      <c r="A140">
        <v>0.05</v>
      </c>
      <c r="B140" t="s">
        <v>90</v>
      </c>
      <c r="C140">
        <v>-0.6</v>
      </c>
      <c r="D140">
        <v>-0.69314718055994529</v>
      </c>
      <c r="E140">
        <v>5.3365959925598248E-2</v>
      </c>
      <c r="F140">
        <v>939.86241565067348</v>
      </c>
    </row>
    <row r="141" spans="1:6" x14ac:dyDescent="0.3">
      <c r="A141">
        <v>0.05</v>
      </c>
      <c r="B141" t="s">
        <v>90</v>
      </c>
      <c r="C141">
        <v>-0.59</v>
      </c>
      <c r="D141">
        <v>-0.67766606775796179</v>
      </c>
      <c r="E141">
        <v>5.2963163091518856E-2</v>
      </c>
      <c r="F141">
        <v>960.45697936634224</v>
      </c>
    </row>
    <row r="142" spans="1:6" x14ac:dyDescent="0.3">
      <c r="A142">
        <v>0.05</v>
      </c>
      <c r="B142" t="s">
        <v>90</v>
      </c>
      <c r="C142">
        <v>-0.57999999999999996</v>
      </c>
      <c r="D142">
        <v>-0.66246270737179924</v>
      </c>
      <c r="E142">
        <v>5.2559193958308804E-2</v>
      </c>
      <c r="F142">
        <v>981.5888941124058</v>
      </c>
    </row>
    <row r="143" spans="1:6" x14ac:dyDescent="0.3">
      <c r="A143">
        <v>0.05</v>
      </c>
      <c r="B143" t="s">
        <v>90</v>
      </c>
      <c r="C143">
        <v>-0.56999999999999995</v>
      </c>
      <c r="D143">
        <v>-0.64752284482737277</v>
      </c>
      <c r="E143">
        <v>5.215383333295591E-2</v>
      </c>
      <c r="F143">
        <v>1003.2898797579336</v>
      </c>
    </row>
    <row r="144" spans="1:6" x14ac:dyDescent="0.3">
      <c r="A144">
        <v>0.05</v>
      </c>
      <c r="B144" t="s">
        <v>90</v>
      </c>
      <c r="C144">
        <v>-0.56000000000000005</v>
      </c>
      <c r="D144">
        <v>-0.63283318666563804</v>
      </c>
      <c r="E144">
        <v>5.1746819510407653E-2</v>
      </c>
      <c r="F144">
        <v>1025.5936832009847</v>
      </c>
    </row>
    <row r="145" spans="1:6" x14ac:dyDescent="0.3">
      <c r="A145">
        <v>0.05</v>
      </c>
      <c r="B145" t="s">
        <v>90</v>
      </c>
      <c r="C145">
        <v>-0.55000000000000004</v>
      </c>
      <c r="D145">
        <v>-0.61838131357446346</v>
      </c>
      <c r="E145">
        <v>5.1337944596675789E-2</v>
      </c>
      <c r="F145">
        <v>1048.5360778155207</v>
      </c>
    </row>
    <row r="146" spans="1:6" x14ac:dyDescent="0.3">
      <c r="A146">
        <v>0.05</v>
      </c>
      <c r="B146" t="s">
        <v>90</v>
      </c>
      <c r="C146">
        <v>-0.54</v>
      </c>
      <c r="D146">
        <v>-0.60415560296226711</v>
      </c>
      <c r="E146">
        <v>5.0926969426498929E-2</v>
      </c>
      <c r="F146">
        <v>1072.1552450280033</v>
      </c>
    </row>
    <row r="147" spans="1:6" x14ac:dyDescent="0.3">
      <c r="A147">
        <v>0.05</v>
      </c>
      <c r="B147" t="s">
        <v>90</v>
      </c>
      <c r="C147">
        <v>-0.53</v>
      </c>
      <c r="D147">
        <v>-0.59014515984118854</v>
      </c>
      <c r="E147">
        <v>5.0513661497208637E-2</v>
      </c>
      <c r="F147">
        <v>1096.4919300716517</v>
      </c>
    </row>
    <row r="148" spans="1:6" x14ac:dyDescent="0.3">
      <c r="A148">
        <v>0.05</v>
      </c>
      <c r="B148" t="s">
        <v>90</v>
      </c>
      <c r="C148">
        <v>-0.52</v>
      </c>
      <c r="D148">
        <v>-0.57633975496919276</v>
      </c>
      <c r="E148">
        <v>5.0097812355470381E-2</v>
      </c>
      <c r="F148">
        <v>1121.5896527594182</v>
      </c>
    </row>
    <row r="149" spans="1:6" x14ac:dyDescent="0.3">
      <c r="A149">
        <v>0.05</v>
      </c>
      <c r="B149" t="s">
        <v>90</v>
      </c>
      <c r="C149">
        <v>-0.51</v>
      </c>
      <c r="D149">
        <v>-0.56272976935214891</v>
      </c>
      <c r="E149">
        <v>4.9679149328474177E-2</v>
      </c>
      <c r="F149">
        <v>1147.4952036072443</v>
      </c>
    </row>
    <row r="150" spans="1:6" x14ac:dyDescent="0.3">
      <c r="A150">
        <v>0.05</v>
      </c>
      <c r="B150" t="s">
        <v>90</v>
      </c>
      <c r="C150">
        <v>-0.5</v>
      </c>
      <c r="D150">
        <v>-0.54930614433405489</v>
      </c>
      <c r="E150">
        <v>4.9257471706343807E-2</v>
      </c>
      <c r="F150">
        <v>1174.2586306102382</v>
      </c>
    </row>
    <row r="151" spans="1:6" x14ac:dyDescent="0.3">
      <c r="A151">
        <v>0.05</v>
      </c>
      <c r="B151" t="s">
        <v>90</v>
      </c>
      <c r="C151">
        <v>-0.49</v>
      </c>
      <c r="D151">
        <v>-0.53606033661056662</v>
      </c>
      <c r="E151">
        <v>4.8832525379452679E-2</v>
      </c>
      <c r="F151">
        <v>1201.9338983508319</v>
      </c>
    </row>
    <row r="152" spans="1:6" x14ac:dyDescent="0.3">
      <c r="A152">
        <v>0.05</v>
      </c>
      <c r="B152" t="s">
        <v>90</v>
      </c>
      <c r="C152">
        <v>-0.48</v>
      </c>
      <c r="D152">
        <v>-0.5229842775913438</v>
      </c>
      <c r="E152">
        <v>4.8404067054111967E-2</v>
      </c>
      <c r="F152">
        <v>1230.5791246819015</v>
      </c>
    </row>
    <row r="153" spans="1:6" x14ac:dyDescent="0.3">
      <c r="A153">
        <v>0.05</v>
      </c>
      <c r="B153" t="s">
        <v>90</v>
      </c>
      <c r="C153">
        <v>-0.47</v>
      </c>
      <c r="D153">
        <v>-0.51007033661330725</v>
      </c>
      <c r="E153">
        <v>4.7971857932365712E-2</v>
      </c>
      <c r="F153">
        <v>1260.2570335880687</v>
      </c>
    </row>
    <row r="154" spans="1:6" x14ac:dyDescent="0.3">
      <c r="A154">
        <v>0.05</v>
      </c>
      <c r="B154" t="s">
        <v>90</v>
      </c>
      <c r="C154">
        <v>-0.46</v>
      </c>
      <c r="D154">
        <v>-0.49731128757203097</v>
      </c>
      <c r="E154">
        <v>4.7535606510566285E-2</v>
      </c>
      <c r="F154">
        <v>1291.0356249417509</v>
      </c>
    </row>
    <row r="155" spans="1:6" x14ac:dyDescent="0.3">
      <c r="A155">
        <v>0.05</v>
      </c>
      <c r="B155" t="s">
        <v>90</v>
      </c>
      <c r="C155">
        <v>-0.45</v>
      </c>
      <c r="D155">
        <v>-0.48470027859405168</v>
      </c>
      <c r="E155">
        <v>4.7095079122537617E-2</v>
      </c>
      <c r="F155">
        <v>1322.9884068473136</v>
      </c>
    </row>
    <row r="156" spans="1:6" x14ac:dyDescent="0.3">
      <c r="A156">
        <v>0.05</v>
      </c>
      <c r="B156" t="s">
        <v>90</v>
      </c>
      <c r="C156">
        <v>-0.44</v>
      </c>
      <c r="D156">
        <v>-0.47223080442042559</v>
      </c>
      <c r="E156">
        <v>4.6650007362499551E-2</v>
      </c>
      <c r="F156">
        <v>1356.1953015445063</v>
      </c>
    </row>
    <row r="157" spans="1:6" x14ac:dyDescent="0.3">
      <c r="A157">
        <v>0.05</v>
      </c>
      <c r="B157" t="s">
        <v>90</v>
      </c>
      <c r="C157">
        <v>-0.43</v>
      </c>
      <c r="D157">
        <v>-0.45989668121267852</v>
      </c>
      <c r="E157">
        <v>4.6200080367565274E-2</v>
      </c>
      <c r="F157">
        <v>1390.7434115468227</v>
      </c>
    </row>
    <row r="158" spans="1:6" x14ac:dyDescent="0.3">
      <c r="A158">
        <v>0.05</v>
      </c>
      <c r="B158" t="s">
        <v>90</v>
      </c>
      <c r="C158">
        <v>-0.42</v>
      </c>
      <c r="D158">
        <v>-0.4476920235274206</v>
      </c>
      <c r="E158">
        <v>4.5745035128210237E-2</v>
      </c>
      <c r="F158">
        <v>1426.7275308036169</v>
      </c>
    </row>
    <row r="159" spans="1:6" x14ac:dyDescent="0.3">
      <c r="A159">
        <v>0.05</v>
      </c>
      <c r="B159" t="s">
        <v>90</v>
      </c>
      <c r="C159">
        <v>-0.41</v>
      </c>
      <c r="D159">
        <v>-0.43561122323622431</v>
      </c>
      <c r="E159">
        <v>4.5284547883316449E-2</v>
      </c>
      <c r="F159">
        <v>1464.2514562890551</v>
      </c>
    </row>
    <row r="160" spans="1:6" x14ac:dyDescent="0.3">
      <c r="A160">
        <v>0.05</v>
      </c>
      <c r="B160" t="s">
        <v>90</v>
      </c>
      <c r="C160">
        <v>-0.4</v>
      </c>
      <c r="D160">
        <v>-0.42364893019360178</v>
      </c>
      <c r="E160">
        <v>4.481830689521759E-2</v>
      </c>
      <c r="F160">
        <v>1503.4288059220385</v>
      </c>
    </row>
    <row r="161" spans="1:6" x14ac:dyDescent="0.3">
      <c r="A161">
        <v>0.05</v>
      </c>
      <c r="B161" t="s">
        <v>90</v>
      </c>
      <c r="C161">
        <v>-0.39</v>
      </c>
      <c r="D161">
        <v>-0.41180003447869035</v>
      </c>
      <c r="E161">
        <v>4.4345985820505543E-2</v>
      </c>
      <c r="F161">
        <v>1544.3843421902031</v>
      </c>
    </row>
    <row r="162" spans="1:6" x14ac:dyDescent="0.3">
      <c r="A162">
        <v>0.05</v>
      </c>
      <c r="B162" t="s">
        <v>90</v>
      </c>
      <c r="C162">
        <v>-0.38</v>
      </c>
      <c r="D162">
        <v>-0.40005965005605654</v>
      </c>
      <c r="E162">
        <v>4.3867217638395538E-2</v>
      </c>
      <c r="F162">
        <v>1587.2555094382133</v>
      </c>
    </row>
    <row r="163" spans="1:6" x14ac:dyDescent="0.3">
      <c r="A163">
        <v>0.05</v>
      </c>
      <c r="B163" t="s">
        <v>90</v>
      </c>
      <c r="C163">
        <v>-0.37</v>
      </c>
      <c r="D163">
        <v>-0.38842309971829614</v>
      </c>
      <c r="E163">
        <v>4.3381632913546589E-2</v>
      </c>
      <c r="F163">
        <v>1632.1939241875373</v>
      </c>
    </row>
    <row r="164" spans="1:6" x14ac:dyDescent="0.3">
      <c r="A164">
        <v>0.05</v>
      </c>
      <c r="B164" t="s">
        <v>90</v>
      </c>
      <c r="C164">
        <v>-0.36</v>
      </c>
      <c r="D164">
        <v>-0.37688590118819004</v>
      </c>
      <c r="E164">
        <v>4.2888880738806159E-2</v>
      </c>
      <c r="F164">
        <v>1679.3671640894245</v>
      </c>
    </row>
    <row r="165" spans="1:6" x14ac:dyDescent="0.3">
      <c r="A165">
        <v>0.05</v>
      </c>
      <c r="B165" t="s">
        <v>90</v>
      </c>
      <c r="C165">
        <v>-0.35</v>
      </c>
      <c r="D165">
        <v>-0.36544375427139619</v>
      </c>
      <c r="E165">
        <v>4.2388506887131833E-2</v>
      </c>
      <c r="F165">
        <v>1728.961582250826</v>
      </c>
    </row>
    <row r="166" spans="1:6" x14ac:dyDescent="0.3">
      <c r="A166">
        <v>0.05</v>
      </c>
      <c r="B166" t="s">
        <v>90</v>
      </c>
      <c r="C166">
        <v>-0.34</v>
      </c>
      <c r="D166">
        <v>-0.35409252896224297</v>
      </c>
      <c r="E166">
        <v>4.1880102321089123E-2</v>
      </c>
      <c r="F166">
        <v>1781.1842021791099</v>
      </c>
    </row>
    <row r="167" spans="1:6" x14ac:dyDescent="0.3">
      <c r="A167">
        <v>0.05</v>
      </c>
      <c r="B167" t="s">
        <v>90</v>
      </c>
      <c r="C167">
        <v>-0.33</v>
      </c>
      <c r="D167">
        <v>-0.34282825441539394</v>
      </c>
      <c r="E167">
        <v>4.1363197217029385E-2</v>
      </c>
      <c r="F167">
        <v>1836.2663034367906</v>
      </c>
    </row>
    <row r="168" spans="1:6" x14ac:dyDescent="0.3">
      <c r="A168">
        <v>0.05</v>
      </c>
      <c r="B168" t="s">
        <v>90</v>
      </c>
      <c r="C168">
        <v>-0.32</v>
      </c>
      <c r="D168">
        <v>-0.3316471087051322</v>
      </c>
      <c r="E168">
        <v>4.0837313408631615E-2</v>
      </c>
      <c r="F168">
        <v>1894.4667692064359</v>
      </c>
    </row>
    <row r="169" spans="1:6" x14ac:dyDescent="0.3">
      <c r="A169">
        <v>0.05</v>
      </c>
      <c r="B169" t="s">
        <v>90</v>
      </c>
      <c r="C169">
        <v>-0.31</v>
      </c>
      <c r="D169">
        <v>-0.32054540930194608</v>
      </c>
      <c r="E169">
        <v>4.0301891597674014E-2</v>
      </c>
      <c r="F169">
        <v>1956.076823643504</v>
      </c>
    </row>
    <row r="170" spans="1:6" x14ac:dyDescent="0.3">
      <c r="A170">
        <v>0.05</v>
      </c>
      <c r="B170" t="s">
        <v>90</v>
      </c>
      <c r="C170">
        <v>-0.3</v>
      </c>
      <c r="D170">
        <v>-0.30951960420311175</v>
      </c>
      <c r="E170">
        <v>3.9756389671692427E-2</v>
      </c>
      <c r="F170">
        <v>2021.4245680152997</v>
      </c>
    </row>
    <row r="171" spans="1:6" x14ac:dyDescent="0.3">
      <c r="A171">
        <v>0.05</v>
      </c>
      <c r="B171" t="s">
        <v>90</v>
      </c>
      <c r="C171">
        <v>-0.28999999999999998</v>
      </c>
      <c r="D171">
        <v>-0.29856626366017835</v>
      </c>
      <c r="E171">
        <v>3.920020988032951E-2</v>
      </c>
      <c r="F171">
        <v>2090.8815642557611</v>
      </c>
    </row>
    <row r="172" spans="1:6" x14ac:dyDescent="0.3">
      <c r="A172">
        <v>0.05</v>
      </c>
      <c r="B172" t="s">
        <v>90</v>
      </c>
      <c r="C172">
        <v>-0.28000000000000003</v>
      </c>
      <c r="D172">
        <v>-0.2876820724517809</v>
      </c>
      <c r="E172">
        <v>3.8632673845760503E-2</v>
      </c>
      <c r="F172">
        <v>2164.8704823468324</v>
      </c>
    </row>
    <row r="173" spans="1:6" x14ac:dyDescent="0.3">
      <c r="A173">
        <v>0.05</v>
      </c>
      <c r="B173" t="s">
        <v>90</v>
      </c>
      <c r="C173">
        <v>-0.27</v>
      </c>
      <c r="D173">
        <v>-0.27686382265510007</v>
      </c>
      <c r="E173">
        <v>3.8053073898169143E-2</v>
      </c>
      <c r="F173">
        <v>2243.8737698016407</v>
      </c>
    </row>
    <row r="174" spans="1:6" x14ac:dyDescent="0.3">
      <c r="A174">
        <v>0.05</v>
      </c>
      <c r="B174" t="s">
        <v>90</v>
      </c>
      <c r="C174">
        <v>-0.26</v>
      </c>
      <c r="D174">
        <v>-0.26610840687365411</v>
      </c>
      <c r="E174">
        <v>3.7460662683290229E-2</v>
      </c>
      <c r="F174">
        <v>2328.4447088578204</v>
      </c>
    </row>
    <row r="175" spans="1:6" x14ac:dyDescent="0.3">
      <c r="A175">
        <v>0.05</v>
      </c>
      <c r="B175" t="s">
        <v>90</v>
      </c>
      <c r="C175">
        <v>-0.25</v>
      </c>
      <c r="D175">
        <v>-0.25541281188299536</v>
      </c>
      <c r="E175">
        <v>3.6854568374785214E-2</v>
      </c>
      <c r="F175">
        <v>2419.2217378016558</v>
      </c>
    </row>
    <row r="176" spans="1:6" x14ac:dyDescent="0.3">
      <c r="A176">
        <v>0.05</v>
      </c>
      <c r="B176" t="s">
        <v>90</v>
      </c>
      <c r="C176">
        <v>-0.24</v>
      </c>
      <c r="D176">
        <v>-0.24477411265935289</v>
      </c>
      <c r="E176">
        <v>3.623389104507016E-2</v>
      </c>
      <c r="F176">
        <v>2516.9444684006171</v>
      </c>
    </row>
    <row r="177" spans="1:6" x14ac:dyDescent="0.3">
      <c r="A177">
        <v>0.05</v>
      </c>
      <c r="B177" t="s">
        <v>90</v>
      </c>
      <c r="C177">
        <v>-0.23</v>
      </c>
      <c r="D177">
        <v>-0.23418946675936678</v>
      </c>
      <c r="E177">
        <v>3.5597633366599157E-2</v>
      </c>
      <c r="F177">
        <v>2622.4753356353949</v>
      </c>
    </row>
    <row r="178" spans="1:6" x14ac:dyDescent="0.3">
      <c r="A178">
        <v>0.05</v>
      </c>
      <c r="B178" t="s">
        <v>90</v>
      </c>
      <c r="C178">
        <v>-0.22</v>
      </c>
      <c r="D178">
        <v>-0.22365610902183239</v>
      </c>
      <c r="E178">
        <v>3.4944648293158749E-2</v>
      </c>
      <c r="F178">
        <v>2736.826814132995</v>
      </c>
    </row>
    <row r="179" spans="1:6" x14ac:dyDescent="0.3">
      <c r="A179">
        <v>0.05</v>
      </c>
      <c r="B179" t="s">
        <v>90</v>
      </c>
      <c r="C179">
        <v>-0.21</v>
      </c>
      <c r="D179">
        <v>-0.21317134656485975</v>
      </c>
      <c r="E179">
        <v>3.4273720218324137E-2</v>
      </c>
      <c r="F179">
        <v>2861.1944108401094</v>
      </c>
    </row>
    <row r="180" spans="1:6" x14ac:dyDescent="0.3">
      <c r="A180">
        <v>0.05</v>
      </c>
      <c r="B180" t="s">
        <v>90</v>
      </c>
      <c r="C180">
        <v>-0.2</v>
      </c>
      <c r="D180">
        <v>-0.20273255405408214</v>
      </c>
      <c r="E180">
        <v>3.3583483587280326E-2</v>
      </c>
      <c r="F180">
        <v>2997.001132650189</v>
      </c>
    </row>
    <row r="181" spans="1:6" x14ac:dyDescent="0.3">
      <c r="A181">
        <v>0.05</v>
      </c>
      <c r="B181" t="s">
        <v>90</v>
      </c>
      <c r="C181">
        <v>-0.19</v>
      </c>
      <c r="D181">
        <v>-0.1923371692195453</v>
      </c>
      <c r="E181">
        <v>3.2872373195068548E-2</v>
      </c>
      <c r="F181">
        <v>3145.9550198193756</v>
      </c>
    </row>
    <row r="182" spans="1:6" x14ac:dyDescent="0.3">
      <c r="A182">
        <v>0.05</v>
      </c>
      <c r="B182" t="s">
        <v>90</v>
      </c>
      <c r="C182">
        <v>-0.18</v>
      </c>
      <c r="D182">
        <v>-0.18198268860070579</v>
      </c>
      <c r="E182">
        <v>3.2138662671772122E-2</v>
      </c>
      <c r="F182">
        <v>3310.1234903506429</v>
      </c>
    </row>
    <row r="183" spans="1:6" x14ac:dyDescent="0.3">
      <c r="A183">
        <v>0.05</v>
      </c>
      <c r="B183" t="s">
        <v>90</v>
      </c>
      <c r="C183">
        <v>-0.17</v>
      </c>
      <c r="D183">
        <v>-0.17166666350057908</v>
      </c>
      <c r="E183">
        <v>3.138037305796508E-2</v>
      </c>
      <c r="F183">
        <v>3492.0347473525389</v>
      </c>
    </row>
    <row r="184" spans="1:6" x14ac:dyDescent="0.3">
      <c r="A184">
        <v>0.05</v>
      </c>
      <c r="B184" t="s">
        <v>90</v>
      </c>
      <c r="C184">
        <v>-0.16</v>
      </c>
      <c r="D184">
        <v>-0.16138669613152551</v>
      </c>
      <c r="E184">
        <v>3.0595270040427166E-2</v>
      </c>
      <c r="F184">
        <v>3694.8135722608977</v>
      </c>
    </row>
    <row r="185" spans="1:6" x14ac:dyDescent="0.3">
      <c r="A185">
        <v>0.05</v>
      </c>
      <c r="B185" t="s">
        <v>90</v>
      </c>
      <c r="C185">
        <v>-0.15</v>
      </c>
      <c r="D185">
        <v>-0.15114043593646675</v>
      </c>
      <c r="E185">
        <v>2.978073405426284E-2</v>
      </c>
      <c r="F185">
        <v>3922.3711670424268</v>
      </c>
    </row>
    <row r="186" spans="1:6" x14ac:dyDescent="0.3">
      <c r="A186">
        <v>0.05</v>
      </c>
      <c r="B186" t="s">
        <v>90</v>
      </c>
      <c r="C186">
        <v>-0.14000000000000001</v>
      </c>
      <c r="D186">
        <v>-0.14092557607049394</v>
      </c>
      <c r="E186">
        <v>2.8933747679952458E-2</v>
      </c>
      <c r="F186">
        <v>4179.6690217003679</v>
      </c>
    </row>
    <row r="187" spans="1:6" x14ac:dyDescent="0.3">
      <c r="A187">
        <v>0.05</v>
      </c>
      <c r="B187" t="s">
        <v>90</v>
      </c>
      <c r="C187">
        <v>-0.13</v>
      </c>
      <c r="D187">
        <v>-0.13073985002887836</v>
      </c>
      <c r="E187">
        <v>2.8050771753674365E-2</v>
      </c>
      <c r="F187">
        <v>4473.1000201957813</v>
      </c>
    </row>
    <row r="188" spans="1:6" x14ac:dyDescent="0.3">
      <c r="A188">
        <v>0.05</v>
      </c>
      <c r="B188" t="s">
        <v>90</v>
      </c>
      <c r="C188">
        <v>-0.12</v>
      </c>
      <c r="D188">
        <v>-0.12058102840844405</v>
      </c>
      <c r="E188">
        <v>2.7127556278591185E-2</v>
      </c>
      <c r="F188">
        <v>4811.0504455280934</v>
      </c>
    </row>
    <row r="189" spans="1:6" x14ac:dyDescent="0.3">
      <c r="A189">
        <v>0.05</v>
      </c>
      <c r="B189" t="s">
        <v>90</v>
      </c>
      <c r="C189">
        <v>-0.11</v>
      </c>
      <c r="D189">
        <v>-0.1104469157900972</v>
      </c>
      <c r="E189">
        <v>2.615904131708072E-2</v>
      </c>
      <c r="F189">
        <v>5204.7450016433322</v>
      </c>
    </row>
    <row r="190" spans="1:6" x14ac:dyDescent="0.3">
      <c r="A190">
        <v>0.05</v>
      </c>
      <c r="B190" t="s">
        <v>90</v>
      </c>
      <c r="C190">
        <v>-0.1</v>
      </c>
      <c r="D190">
        <v>-0.10033534773107562</v>
      </c>
      <c r="E190">
        <v>2.5138958483706213E-2</v>
      </c>
      <c r="F190">
        <v>5669.5754938484297</v>
      </c>
    </row>
    <row r="191" spans="1:6" x14ac:dyDescent="0.3">
      <c r="A191">
        <v>0.05</v>
      </c>
      <c r="B191" t="s">
        <v>90</v>
      </c>
      <c r="C191">
        <v>-0.09</v>
      </c>
      <c r="D191">
        <v>-9.0244187856146837E-2</v>
      </c>
      <c r="E191">
        <v>2.4059515002356605E-2</v>
      </c>
      <c r="F191">
        <v>6227.2459485266354</v>
      </c>
    </row>
    <row r="192" spans="1:6" x14ac:dyDescent="0.3">
      <c r="A192">
        <v>0.05</v>
      </c>
      <c r="B192" t="s">
        <v>90</v>
      </c>
      <c r="C192">
        <v>-0.08</v>
      </c>
      <c r="D192">
        <v>-8.0171325037589683E-2</v>
      </c>
      <c r="E192">
        <v>2.2910762025403868E-2</v>
      </c>
      <c r="F192">
        <v>6909.4147411962804</v>
      </c>
    </row>
    <row r="193" spans="1:6" x14ac:dyDescent="0.3">
      <c r="A193">
        <v>0.05</v>
      </c>
      <c r="B193" t="s">
        <v>90</v>
      </c>
      <c r="C193">
        <v>-7.0000000000000007E-2</v>
      </c>
      <c r="D193">
        <v>-7.0114670654325195E-2</v>
      </c>
      <c r="E193">
        <v>2.167961909570439E-2</v>
      </c>
      <c r="F193">
        <v>7764.2112743858734</v>
      </c>
    </row>
    <row r="194" spans="1:6" x14ac:dyDescent="0.3">
      <c r="A194">
        <v>0.05</v>
      </c>
      <c r="B194" t="s">
        <v>90</v>
      </c>
      <c r="C194">
        <v>-0.06</v>
      </c>
      <c r="D194">
        <v>-6.007215592103167E-2</v>
      </c>
      <c r="E194">
        <v>2.0348299002848704E-2</v>
      </c>
      <c r="F194">
        <v>8868.6969310268541</v>
      </c>
    </row>
    <row r="195" spans="1:6" x14ac:dyDescent="0.3">
      <c r="A195">
        <v>0.05</v>
      </c>
      <c r="B195" t="s">
        <v>90</v>
      </c>
      <c r="C195">
        <v>-0.05</v>
      </c>
      <c r="D195">
        <v>-5.0041729278491327E-2</v>
      </c>
      <c r="E195">
        <v>1.8891433004820241E-2</v>
      </c>
      <c r="F195">
        <v>10354.81885706661</v>
      </c>
    </row>
    <row r="196" spans="1:6" x14ac:dyDescent="0.3">
      <c r="A196">
        <v>0.05</v>
      </c>
      <c r="B196" t="s">
        <v>90</v>
      </c>
      <c r="C196">
        <v>-0.04</v>
      </c>
      <c r="D196">
        <v>-4.0021353836768248E-2</v>
      </c>
      <c r="E196">
        <v>1.7270681528033759E-2</v>
      </c>
      <c r="F196">
        <v>12469.852578410257</v>
      </c>
    </row>
    <row r="197" spans="1:6" x14ac:dyDescent="0.3">
      <c r="A197">
        <v>0.05</v>
      </c>
      <c r="B197" t="s">
        <v>90</v>
      </c>
      <c r="C197">
        <v>-0.03</v>
      </c>
      <c r="D197">
        <v>-3.000900486312652E-2</v>
      </c>
      <c r="E197">
        <v>1.5422646816514857E-2</v>
      </c>
      <c r="F197">
        <v>15741.207233870115</v>
      </c>
    </row>
    <row r="198" spans="1:6" x14ac:dyDescent="0.3">
      <c r="A198">
        <v>0.05</v>
      </c>
      <c r="B198" t="s">
        <v>90</v>
      </c>
      <c r="C198">
        <v>-0.02</v>
      </c>
      <c r="D198">
        <v>-2.0002667306849624E-2</v>
      </c>
      <c r="E198">
        <v>1.3227190515856281E-2</v>
      </c>
      <c r="F198">
        <v>21547.397840242505</v>
      </c>
    </row>
    <row r="199" spans="1:6" x14ac:dyDescent="0.3">
      <c r="A199">
        <v>0.05</v>
      </c>
      <c r="B199" t="s">
        <v>90</v>
      </c>
      <c r="C199">
        <v>-0.01</v>
      </c>
      <c r="D199">
        <v>-1.0000333353334771E-2</v>
      </c>
      <c r="E199">
        <v>1.0390955624548353E-2</v>
      </c>
      <c r="F199">
        <v>35169.281379272186</v>
      </c>
    </row>
    <row r="200" spans="1:6" x14ac:dyDescent="0.3">
      <c r="A200">
        <v>0.01</v>
      </c>
      <c r="B200" t="s">
        <v>90</v>
      </c>
      <c r="C200">
        <v>-0.99</v>
      </c>
      <c r="D200">
        <v>-2.6466524123622457</v>
      </c>
      <c r="E200">
        <v>0.10029719878882969</v>
      </c>
      <c r="F200">
        <v>250.563490403321</v>
      </c>
    </row>
    <row r="201" spans="1:6" x14ac:dyDescent="0.3">
      <c r="A201">
        <v>0.01</v>
      </c>
      <c r="B201" t="s">
        <v>90</v>
      </c>
      <c r="C201">
        <v>-0.98</v>
      </c>
      <c r="D201">
        <v>-2.2975599250672945</v>
      </c>
      <c r="E201">
        <v>9.7609523065046347E-2</v>
      </c>
      <c r="F201">
        <v>287.38562316663638</v>
      </c>
    </row>
    <row r="202" spans="1:6" x14ac:dyDescent="0.3">
      <c r="A202">
        <v>0.01</v>
      </c>
      <c r="B202" t="s">
        <v>90</v>
      </c>
      <c r="C202">
        <v>-0.97</v>
      </c>
      <c r="D202">
        <v>-2.0922957200349388</v>
      </c>
      <c r="E202">
        <v>9.5752745287709731E-2</v>
      </c>
      <c r="F202">
        <v>314.65523037923748</v>
      </c>
    </row>
    <row r="203" spans="1:6" x14ac:dyDescent="0.3">
      <c r="A203">
        <v>0.01</v>
      </c>
      <c r="B203" t="s">
        <v>90</v>
      </c>
      <c r="C203">
        <v>-0.96</v>
      </c>
      <c r="D203">
        <v>-1.9459101490553128</v>
      </c>
      <c r="E203">
        <v>9.4273602308887969E-2</v>
      </c>
      <c r="F203">
        <v>337.54151126924711</v>
      </c>
    </row>
    <row r="204" spans="1:6" x14ac:dyDescent="0.3">
      <c r="A204">
        <v>0.01</v>
      </c>
      <c r="B204" t="s">
        <v>90</v>
      </c>
      <c r="C204">
        <v>-0.95</v>
      </c>
      <c r="D204">
        <v>-1.8317808230648227</v>
      </c>
      <c r="E204">
        <v>9.3015953615202929E-2</v>
      </c>
      <c r="F204">
        <v>357.86567464451224</v>
      </c>
    </row>
    <row r="205" spans="1:6" x14ac:dyDescent="0.3">
      <c r="A205">
        <v>0.01</v>
      </c>
      <c r="B205" t="s">
        <v>90</v>
      </c>
      <c r="C205">
        <v>-0.94</v>
      </c>
      <c r="D205">
        <v>-1.7380493449176362</v>
      </c>
      <c r="E205">
        <v>9.190558511966325E-2</v>
      </c>
      <c r="F205">
        <v>376.50743852274576</v>
      </c>
    </row>
    <row r="206" spans="1:6" x14ac:dyDescent="0.3">
      <c r="A206">
        <v>0.01</v>
      </c>
      <c r="B206" t="s">
        <v>90</v>
      </c>
      <c r="C206">
        <v>-0.93</v>
      </c>
      <c r="D206">
        <v>-1.6583900199247865</v>
      </c>
      <c r="E206">
        <v>9.0900884731691403E-2</v>
      </c>
      <c r="F206">
        <v>393.96739900128415</v>
      </c>
    </row>
    <row r="207" spans="1:6" x14ac:dyDescent="0.3">
      <c r="A207">
        <v>0.01</v>
      </c>
      <c r="B207" t="s">
        <v>90</v>
      </c>
      <c r="C207">
        <v>-0.92</v>
      </c>
      <c r="D207">
        <v>-1.5890269151739731</v>
      </c>
      <c r="E207">
        <v>8.9975923688976986E-2</v>
      </c>
      <c r="F207">
        <v>410.56143063055367</v>
      </c>
    </row>
    <row r="208" spans="1:6" x14ac:dyDescent="0.3">
      <c r="A208">
        <v>0.01</v>
      </c>
      <c r="B208" t="s">
        <v>90</v>
      </c>
      <c r="C208">
        <v>-0.91</v>
      </c>
      <c r="D208">
        <v>-1.5275244253552054</v>
      </c>
      <c r="E208">
        <v>8.9113373181064451E-2</v>
      </c>
      <c r="F208">
        <v>426.50374986215223</v>
      </c>
    </row>
    <row r="209" spans="1:6" x14ac:dyDescent="0.3">
      <c r="A209">
        <v>0.01</v>
      </c>
      <c r="B209" t="s">
        <v>90</v>
      </c>
      <c r="C209">
        <v>-0.9</v>
      </c>
      <c r="D209">
        <v>-1.4722194895832204</v>
      </c>
      <c r="E209">
        <v>8.830100837245429E-2</v>
      </c>
      <c r="F209">
        <v>441.94768767696684</v>
      </c>
    </row>
    <row r="210" spans="1:6" x14ac:dyDescent="0.3">
      <c r="A210">
        <v>0.01</v>
      </c>
      <c r="B210" t="s">
        <v>90</v>
      </c>
      <c r="C210">
        <v>-0.89</v>
      </c>
      <c r="D210">
        <v>-1.421925871130636</v>
      </c>
      <c r="E210">
        <v>8.7529847678088399E-2</v>
      </c>
      <c r="F210">
        <v>457.00774187471984</v>
      </c>
    </row>
    <row r="211" spans="1:6" x14ac:dyDescent="0.3">
      <c r="A211">
        <v>0.01</v>
      </c>
      <c r="B211" t="s">
        <v>90</v>
      </c>
      <c r="C211">
        <v>-0.88</v>
      </c>
      <c r="D211">
        <v>-1.3757676565209744</v>
      </c>
      <c r="E211">
        <v>8.6793103650824571E-2</v>
      </c>
      <c r="F211">
        <v>471.77240219061332</v>
      </c>
    </row>
    <row r="212" spans="1:6" x14ac:dyDescent="0.3">
      <c r="A212">
        <v>0.01</v>
      </c>
      <c r="B212" t="s">
        <v>90</v>
      </c>
      <c r="C212">
        <v>-0.87</v>
      </c>
      <c r="D212">
        <v>-1.333079629696525</v>
      </c>
      <c r="E212">
        <v>8.6085473573912413E-2</v>
      </c>
      <c r="F212">
        <v>486.3120987167099</v>
      </c>
    </row>
    <row r="213" spans="1:6" x14ac:dyDescent="0.3">
      <c r="A213">
        <v>0.01</v>
      </c>
      <c r="B213" t="s">
        <v>90</v>
      </c>
      <c r="C213">
        <v>-0.86</v>
      </c>
      <c r="D213">
        <v>-1.2933446720489712</v>
      </c>
      <c r="E213">
        <v>8.5402727005693527E-2</v>
      </c>
      <c r="F213">
        <v>500.68431588247148</v>
      </c>
    </row>
    <row r="214" spans="1:6" x14ac:dyDescent="0.3">
      <c r="A214">
        <v>0.01</v>
      </c>
      <c r="B214" t="s">
        <v>90</v>
      </c>
      <c r="C214">
        <v>-0.85</v>
      </c>
      <c r="D214">
        <v>-1.2561528119880574</v>
      </c>
      <c r="E214">
        <v>8.4741448302369946E-2</v>
      </c>
      <c r="F214">
        <v>514.93701340055441</v>
      </c>
    </row>
    <row r="215" spans="1:6" x14ac:dyDescent="0.3">
      <c r="A215">
        <v>0.01</v>
      </c>
      <c r="B215" t="s">
        <v>90</v>
      </c>
      <c r="C215">
        <v>-0.84</v>
      </c>
      <c r="D215">
        <v>-1.2211735176846021</v>
      </c>
      <c r="E215">
        <v>8.4098834376798853E-2</v>
      </c>
      <c r="F215">
        <v>529.11101334662953</v>
      </c>
    </row>
    <row r="216" spans="1:6" x14ac:dyDescent="0.3">
      <c r="A216">
        <v>0.01</v>
      </c>
      <c r="B216" t="s">
        <v>90</v>
      </c>
      <c r="C216">
        <v>-0.83</v>
      </c>
      <c r="D216">
        <v>-1.1881364043926024</v>
      </c>
      <c r="E216">
        <v>8.3472506854902345E-2</v>
      </c>
      <c r="F216">
        <v>543.24173682569551</v>
      </c>
    </row>
    <row r="217" spans="1:6" x14ac:dyDescent="0.3">
      <c r="A217">
        <v>0.01</v>
      </c>
      <c r="B217" t="s">
        <v>90</v>
      </c>
      <c r="C217">
        <v>-0.82</v>
      </c>
      <c r="D217">
        <v>-1.1568174645903151</v>
      </c>
      <c r="E217">
        <v>8.2860496278626808E-2</v>
      </c>
      <c r="F217">
        <v>557.36038779870069</v>
      </c>
    </row>
    <row r="218" spans="1:6" x14ac:dyDescent="0.3">
      <c r="A218">
        <v>0.01</v>
      </c>
      <c r="B218" t="s">
        <v>90</v>
      </c>
      <c r="C218">
        <v>-0.81</v>
      </c>
      <c r="D218">
        <v>-1.1270290260496929</v>
      </c>
      <c r="E218">
        <v>8.2261075814166723E-2</v>
      </c>
      <c r="F218">
        <v>571.49495030561479</v>
      </c>
    </row>
    <row r="219" spans="1:6" x14ac:dyDescent="0.3">
      <c r="A219">
        <v>0.01</v>
      </c>
      <c r="B219" t="s">
        <v>90</v>
      </c>
      <c r="C219">
        <v>-0.8</v>
      </c>
      <c r="D219">
        <v>-1.0986122886681098</v>
      </c>
      <c r="E219">
        <v>8.1672784741612006E-2</v>
      </c>
      <c r="F219">
        <v>585.67083756241516</v>
      </c>
    </row>
    <row r="220" spans="1:6" x14ac:dyDescent="0.3">
      <c r="A220">
        <v>0.01</v>
      </c>
      <c r="B220" t="s">
        <v>90</v>
      </c>
      <c r="C220">
        <v>-0.79</v>
      </c>
      <c r="D220">
        <v>-1.0714316840586662</v>
      </c>
      <c r="E220">
        <v>8.1094337778233827E-2</v>
      </c>
      <c r="F220">
        <v>599.91147913389784</v>
      </c>
    </row>
    <row r="221" spans="1:6" x14ac:dyDescent="0.3">
      <c r="A221">
        <v>0.01</v>
      </c>
      <c r="B221" t="s">
        <v>90</v>
      </c>
      <c r="C221">
        <v>-0.78</v>
      </c>
      <c r="D221">
        <v>-1.0453705484668847</v>
      </c>
      <c r="E221">
        <v>8.0524603347538373E-2</v>
      </c>
      <c r="F221">
        <v>614.23874804094498</v>
      </c>
    </row>
    <row r="222" spans="1:6" x14ac:dyDescent="0.3">
      <c r="A222">
        <v>0.01</v>
      </c>
      <c r="B222" t="s">
        <v>90</v>
      </c>
      <c r="C222">
        <v>-0.77</v>
      </c>
      <c r="D222">
        <v>-1.0203277583223398</v>
      </c>
      <c r="E222">
        <v>7.9962576460988172E-2</v>
      </c>
      <c r="F222">
        <v>628.67331215650654</v>
      </c>
    </row>
    <row r="223" spans="1:6" x14ac:dyDescent="0.3">
      <c r="A223">
        <v>0.01</v>
      </c>
      <c r="B223" t="s">
        <v>90</v>
      </c>
      <c r="C223">
        <v>-0.76</v>
      </c>
      <c r="D223">
        <v>-0.99621508234510314</v>
      </c>
      <c r="E223">
        <v>7.9407355250425873E-2</v>
      </c>
      <c r="F223">
        <v>643.23492367438359</v>
      </c>
    </row>
    <row r="224" spans="1:6" x14ac:dyDescent="0.3">
      <c r="A224">
        <v>0.01</v>
      </c>
      <c r="B224" t="s">
        <v>90</v>
      </c>
      <c r="C224">
        <v>-0.75</v>
      </c>
      <c r="D224">
        <v>-0.97295507452765673</v>
      </c>
      <c r="E224">
        <v>7.8858143435627859E-2</v>
      </c>
      <c r="F224">
        <v>657.94263880620986</v>
      </c>
    </row>
    <row r="225" spans="1:6" x14ac:dyDescent="0.3">
      <c r="A225">
        <v>0.01</v>
      </c>
      <c r="B225" t="s">
        <v>90</v>
      </c>
      <c r="C225">
        <v>-0.74</v>
      </c>
      <c r="D225">
        <v>-0.95047938059652348</v>
      </c>
      <c r="E225">
        <v>7.8314207678189376E-2</v>
      </c>
      <c r="F225">
        <v>672.81504734279372</v>
      </c>
    </row>
    <row r="226" spans="1:6" x14ac:dyDescent="0.3">
      <c r="A226">
        <v>0.01</v>
      </c>
      <c r="B226" t="s">
        <v>90</v>
      </c>
      <c r="C226">
        <v>-0.73</v>
      </c>
      <c r="D226">
        <v>-0.92872736424672497</v>
      </c>
      <c r="E226">
        <v>7.7774890191913332E-2</v>
      </c>
      <c r="F226">
        <v>687.87042309209244</v>
      </c>
    </row>
    <row r="227" spans="1:6" x14ac:dyDescent="0.3">
      <c r="A227">
        <v>0.01</v>
      </c>
      <c r="B227" t="s">
        <v>90</v>
      </c>
      <c r="C227">
        <v>-0.72</v>
      </c>
      <c r="D227">
        <v>-0.90764498331912458</v>
      </c>
      <c r="E227">
        <v>7.7239571732466428E-2</v>
      </c>
      <c r="F227">
        <v>703.12690574653902</v>
      </c>
    </row>
    <row r="228" spans="1:6" x14ac:dyDescent="0.3">
      <c r="A228">
        <v>0.01</v>
      </c>
      <c r="B228" t="s">
        <v>90</v>
      </c>
      <c r="C228">
        <v>-0.71</v>
      </c>
      <c r="D228">
        <v>-0.88718386325809284</v>
      </c>
      <c r="E228">
        <v>7.6707723449536663E-2</v>
      </c>
      <c r="F228">
        <v>718.6025709223411</v>
      </c>
    </row>
    <row r="229" spans="1:6" x14ac:dyDescent="0.3">
      <c r="A229">
        <v>0.01</v>
      </c>
      <c r="B229" t="s">
        <v>90</v>
      </c>
      <c r="C229">
        <v>-0.7</v>
      </c>
      <c r="D229">
        <v>-0.86730052769405308</v>
      </c>
      <c r="E229">
        <v>7.6178769848727873E-2</v>
      </c>
      <c r="F229">
        <v>734.31570371382861</v>
      </c>
    </row>
    <row r="230" spans="1:6" x14ac:dyDescent="0.3">
      <c r="A230">
        <v>0.01</v>
      </c>
      <c r="B230" t="s">
        <v>90</v>
      </c>
      <c r="C230">
        <v>-0.69</v>
      </c>
      <c r="D230">
        <v>-0.84795575521896349</v>
      </c>
      <c r="E230">
        <v>7.5652278942682144E-2</v>
      </c>
      <c r="F230">
        <v>750.28468695241236</v>
      </c>
    </row>
    <row r="231" spans="1:6" x14ac:dyDescent="0.3">
      <c r="A231">
        <v>0.01</v>
      </c>
      <c r="B231" t="s">
        <v>90</v>
      </c>
      <c r="C231">
        <v>-0.68</v>
      </c>
      <c r="D231">
        <v>-0.82911403830176633</v>
      </c>
      <c r="E231">
        <v>7.5127776641100943E-2</v>
      </c>
      <c r="F231">
        <v>766.52832197556825</v>
      </c>
    </row>
    <row r="232" spans="1:6" x14ac:dyDescent="0.3">
      <c r="A232">
        <v>0.01</v>
      </c>
      <c r="B232" t="s">
        <v>90</v>
      </c>
      <c r="C232">
        <v>-0.67</v>
      </c>
      <c r="D232">
        <v>-0.81074312547513749</v>
      </c>
      <c r="E232">
        <v>7.4604834143566653E-2</v>
      </c>
      <c r="F232">
        <v>783.06582658177672</v>
      </c>
    </row>
    <row r="233" spans="1:6" x14ac:dyDescent="0.3">
      <c r="A233">
        <v>0.01</v>
      </c>
      <c r="B233" t="s">
        <v>90</v>
      </c>
      <c r="C233">
        <v>-0.66</v>
      </c>
      <c r="D233">
        <v>-0.79281363187019105</v>
      </c>
      <c r="E233">
        <v>7.4083039293811048E-2</v>
      </c>
      <c r="F233">
        <v>799.91696875815683</v>
      </c>
    </row>
    <row r="234" spans="1:6" x14ac:dyDescent="0.3">
      <c r="A234">
        <v>0.01</v>
      </c>
      <c r="B234" t="s">
        <v>90</v>
      </c>
      <c r="C234">
        <v>-0.65</v>
      </c>
      <c r="D234">
        <v>-0.7752987062055835</v>
      </c>
      <c r="E234">
        <v>7.3562029949568009E-2</v>
      </c>
      <c r="F234">
        <v>817.10211808179599</v>
      </c>
    </row>
    <row r="235" spans="1:6" x14ac:dyDescent="0.3">
      <c r="A235">
        <v>0.01</v>
      </c>
      <c r="B235" t="s">
        <v>90</v>
      </c>
      <c r="C235">
        <v>-0.64</v>
      </c>
      <c r="D235">
        <v>-0.7581737446840443</v>
      </c>
      <c r="E235">
        <v>7.3041439187888205E-2</v>
      </c>
      <c r="F235">
        <v>834.64241951660483</v>
      </c>
    </row>
    <row r="236" spans="1:6" x14ac:dyDescent="0.3">
      <c r="A236">
        <v>0.01</v>
      </c>
      <c r="B236" t="s">
        <v>90</v>
      </c>
      <c r="C236">
        <v>-0.63</v>
      </c>
      <c r="D236">
        <v>-0.74141614408126888</v>
      </c>
      <c r="E236">
        <v>7.2520888394043831E-2</v>
      </c>
      <c r="F236">
        <v>852.55991187467032</v>
      </c>
    </row>
    <row r="237" spans="1:6" x14ac:dyDescent="0.3">
      <c r="A237">
        <v>0.01</v>
      </c>
      <c r="B237" t="s">
        <v>90</v>
      </c>
      <c r="C237">
        <v>-0.62</v>
      </c>
      <c r="D237">
        <v>-0.72500508775299921</v>
      </c>
      <c r="E237">
        <v>7.2000064405961281E-2</v>
      </c>
      <c r="F237">
        <v>870.87751771821559</v>
      </c>
    </row>
    <row r="238" spans="1:6" x14ac:dyDescent="0.3">
      <c r="A238">
        <v>0.01</v>
      </c>
      <c r="B238" t="s">
        <v>90</v>
      </c>
      <c r="C238">
        <v>-0.61</v>
      </c>
      <c r="D238">
        <v>-0.7089213594274083</v>
      </c>
      <c r="E238">
        <v>7.14786215764973E-2</v>
      </c>
      <c r="F238">
        <v>889.61930337312981</v>
      </c>
    </row>
    <row r="239" spans="1:6" x14ac:dyDescent="0.3">
      <c r="A239">
        <v>0.01</v>
      </c>
      <c r="B239" t="s">
        <v>90</v>
      </c>
      <c r="C239">
        <v>-0.6</v>
      </c>
      <c r="D239">
        <v>-0.69314718055994529</v>
      </c>
      <c r="E239">
        <v>7.095624549671016E-2</v>
      </c>
      <c r="F239">
        <v>908.81050006133557</v>
      </c>
    </row>
    <row r="240" spans="1:6" x14ac:dyDescent="0.3">
      <c r="A240">
        <v>0.01</v>
      </c>
      <c r="B240" t="s">
        <v>90</v>
      </c>
      <c r="C240">
        <v>-0.59</v>
      </c>
      <c r="D240">
        <v>-0.67766606775796179</v>
      </c>
      <c r="E240">
        <v>7.0432618670870514E-2</v>
      </c>
      <c r="F240">
        <v>928.47768532015573</v>
      </c>
    </row>
    <row r="241" spans="1:6" x14ac:dyDescent="0.3">
      <c r="A241">
        <v>0.01</v>
      </c>
      <c r="B241" t="s">
        <v>90</v>
      </c>
      <c r="C241">
        <v>-0.57999999999999996</v>
      </c>
      <c r="D241">
        <v>-0.66246270737179924</v>
      </c>
      <c r="E241">
        <v>6.9907437054297389E-2</v>
      </c>
      <c r="F241">
        <v>948.64889189460882</v>
      </c>
    </row>
    <row r="242" spans="1:6" x14ac:dyDescent="0.3">
      <c r="A242">
        <v>0.01</v>
      </c>
      <c r="B242" t="s">
        <v>90</v>
      </c>
      <c r="C242">
        <v>-0.56999999999999995</v>
      </c>
      <c r="D242">
        <v>-0.64752284482737277</v>
      </c>
      <c r="E242">
        <v>6.9380386475407826E-2</v>
      </c>
      <c r="F242">
        <v>969.35379800532962</v>
      </c>
    </row>
    <row r="243" spans="1:6" x14ac:dyDescent="0.3">
      <c r="A243">
        <v>0.01</v>
      </c>
      <c r="B243" t="s">
        <v>90</v>
      </c>
      <c r="C243">
        <v>-0.56000000000000005</v>
      </c>
      <c r="D243">
        <v>-0.63283318666563804</v>
      </c>
      <c r="E243">
        <v>6.88511877353081E-2</v>
      </c>
      <c r="F243">
        <v>990.62380285907932</v>
      </c>
    </row>
    <row r="244" spans="1:6" x14ac:dyDescent="0.3">
      <c r="A244">
        <v>0.01</v>
      </c>
      <c r="B244" t="s">
        <v>90</v>
      </c>
      <c r="C244">
        <v>-0.55000000000000004</v>
      </c>
      <c r="D244">
        <v>-0.61838131357446346</v>
      </c>
      <c r="E244">
        <v>6.8319513703217427E-2</v>
      </c>
      <c r="F244">
        <v>1012.4923617640569</v>
      </c>
    </row>
    <row r="245" spans="1:6" x14ac:dyDescent="0.3">
      <c r="A245">
        <v>0.01</v>
      </c>
      <c r="B245" t="s">
        <v>90</v>
      </c>
      <c r="C245">
        <v>-0.54</v>
      </c>
      <c r="D245">
        <v>-0.60415560296226711</v>
      </c>
      <c r="E245">
        <v>6.7785100004179658E-2</v>
      </c>
      <c r="F245">
        <v>1034.9949592821558</v>
      </c>
    </row>
    <row r="246" spans="1:6" x14ac:dyDescent="0.3">
      <c r="A246">
        <v>0.01</v>
      </c>
      <c r="B246" t="s">
        <v>90</v>
      </c>
      <c r="C246">
        <v>-0.53</v>
      </c>
      <c r="D246">
        <v>-0.59014515984118854</v>
      </c>
      <c r="E246">
        <v>6.7247622894757456E-2</v>
      </c>
      <c r="F246">
        <v>1058.1695686102248</v>
      </c>
    </row>
    <row r="247" spans="1:6" x14ac:dyDescent="0.3">
      <c r="A247">
        <v>0.01</v>
      </c>
      <c r="B247" t="s">
        <v>90</v>
      </c>
      <c r="C247">
        <v>-0.52</v>
      </c>
      <c r="D247">
        <v>-0.57633975496919276</v>
      </c>
      <c r="E247">
        <v>6.6706787720486813E-2</v>
      </c>
      <c r="F247">
        <v>1082.0567042883802</v>
      </c>
    </row>
    <row r="248" spans="1:6" x14ac:dyDescent="0.3">
      <c r="A248">
        <v>0.01</v>
      </c>
      <c r="B248" t="s">
        <v>90</v>
      </c>
      <c r="C248">
        <v>-0.51</v>
      </c>
      <c r="D248">
        <v>-0.56272976935214891</v>
      </c>
      <c r="E248">
        <v>6.6162291995775765E-2</v>
      </c>
      <c r="F248">
        <v>1106.6997570133731</v>
      </c>
    </row>
    <row r="249" spans="1:6" x14ac:dyDescent="0.3">
      <c r="A249">
        <v>0.01</v>
      </c>
      <c r="B249" t="s">
        <v>90</v>
      </c>
      <c r="C249">
        <v>-0.5</v>
      </c>
      <c r="D249">
        <v>-0.54930614433405489</v>
      </c>
      <c r="E249">
        <v>6.561382265663801E-2</v>
      </c>
      <c r="F249">
        <v>1132.1452903424383</v>
      </c>
    </row>
    <row r="250" spans="1:6" x14ac:dyDescent="0.3">
      <c r="A250">
        <v>0.01</v>
      </c>
      <c r="B250" t="s">
        <v>90</v>
      </c>
      <c r="C250">
        <v>-0.49</v>
      </c>
      <c r="D250">
        <v>-0.53606033661056662</v>
      </c>
      <c r="E250">
        <v>6.5061069224020135E-2</v>
      </c>
      <c r="F250">
        <v>1158.4433303119349</v>
      </c>
    </row>
    <row r="251" spans="1:6" x14ac:dyDescent="0.3">
      <c r="A251">
        <v>0.01</v>
      </c>
      <c r="B251" t="s">
        <v>90</v>
      </c>
      <c r="C251">
        <v>-0.48</v>
      </c>
      <c r="D251">
        <v>-0.5229842775913438</v>
      </c>
      <c r="E251">
        <v>6.4503718499803853E-2</v>
      </c>
      <c r="F251">
        <v>1185.6477344226257</v>
      </c>
    </row>
    <row r="252" spans="1:6" x14ac:dyDescent="0.3">
      <c r="A252">
        <v>0.01</v>
      </c>
      <c r="B252" t="s">
        <v>90</v>
      </c>
      <c r="C252">
        <v>-0.47</v>
      </c>
      <c r="D252">
        <v>-0.51007033661330725</v>
      </c>
      <c r="E252">
        <v>6.3941431655335973E-2</v>
      </c>
      <c r="F252">
        <v>1213.8166559963754</v>
      </c>
    </row>
    <row r="253" spans="1:6" x14ac:dyDescent="0.3">
      <c r="A253">
        <v>0.01</v>
      </c>
      <c r="B253" t="s">
        <v>90</v>
      </c>
      <c r="C253">
        <v>-0.46</v>
      </c>
      <c r="D253">
        <v>-0.49731128757203097</v>
      </c>
      <c r="E253">
        <v>6.3373888266777922E-2</v>
      </c>
      <c r="F253">
        <v>1243.01287637676</v>
      </c>
    </row>
    <row r="254" spans="1:6" x14ac:dyDescent="0.3">
      <c r="A254">
        <v>0.01</v>
      </c>
      <c r="B254" t="s">
        <v>90</v>
      </c>
      <c r="C254">
        <v>-0.45</v>
      </c>
      <c r="D254">
        <v>-0.48470027859405168</v>
      </c>
      <c r="E254">
        <v>6.2800744853387699E-2</v>
      </c>
      <c r="F254">
        <v>1273.3044248953365</v>
      </c>
    </row>
    <row r="255" spans="1:6" x14ac:dyDescent="0.3">
      <c r="A255">
        <v>0.01</v>
      </c>
      <c r="B255" t="s">
        <v>90</v>
      </c>
      <c r="C255">
        <v>-0.44</v>
      </c>
      <c r="D255">
        <v>-0.47223080442042559</v>
      </c>
      <c r="E255">
        <v>6.2221643849302351E-2</v>
      </c>
      <c r="F255">
        <v>1304.7651328684126</v>
      </c>
    </row>
    <row r="256" spans="1:6" x14ac:dyDescent="0.3">
      <c r="A256">
        <v>0.01</v>
      </c>
      <c r="B256" t="s">
        <v>90</v>
      </c>
      <c r="C256">
        <v>-0.43</v>
      </c>
      <c r="D256">
        <v>-0.45989668121267852</v>
      </c>
      <c r="E256">
        <v>6.1636205235757587E-2</v>
      </c>
      <c r="F256">
        <v>1337.4753152230642</v>
      </c>
    </row>
    <row r="257" spans="1:6" x14ac:dyDescent="0.3">
      <c r="A257">
        <v>0.01</v>
      </c>
      <c r="B257" t="s">
        <v>90</v>
      </c>
      <c r="C257">
        <v>-0.42</v>
      </c>
      <c r="D257">
        <v>-0.4476920235274206</v>
      </c>
      <c r="E257">
        <v>6.1044050710393219E-2</v>
      </c>
      <c r="F257">
        <v>1371.5224342503925</v>
      </c>
    </row>
    <row r="258" spans="1:6" x14ac:dyDescent="0.3">
      <c r="A258">
        <v>0.01</v>
      </c>
      <c r="B258" t="s">
        <v>90</v>
      </c>
      <c r="C258">
        <v>-0.41</v>
      </c>
      <c r="D258">
        <v>-0.43561122323622431</v>
      </c>
      <c r="E258">
        <v>6.0444794037228126E-2</v>
      </c>
      <c r="F258">
        <v>1407.0019679316533</v>
      </c>
    </row>
    <row r="259" spans="1:6" x14ac:dyDescent="0.3">
      <c r="A259">
        <v>0.01</v>
      </c>
      <c r="B259" t="s">
        <v>90</v>
      </c>
      <c r="C259">
        <v>-0.4</v>
      </c>
      <c r="D259">
        <v>-0.42364893019360178</v>
      </c>
      <c r="E259">
        <v>5.9838015122122924E-2</v>
      </c>
      <c r="F259">
        <v>1444.0184682738923</v>
      </c>
    </row>
    <row r="260" spans="1:6" x14ac:dyDescent="0.3">
      <c r="A260">
        <v>0.01</v>
      </c>
      <c r="B260" t="s">
        <v>90</v>
      </c>
      <c r="C260">
        <v>-0.39</v>
      </c>
      <c r="D260">
        <v>-0.41180003447869035</v>
      </c>
      <c r="E260">
        <v>5.9223282933649417E-2</v>
      </c>
      <c r="F260">
        <v>1482.6865914406658</v>
      </c>
    </row>
    <row r="261" spans="1:6" x14ac:dyDescent="0.3">
      <c r="A261">
        <v>0.01</v>
      </c>
      <c r="B261" t="s">
        <v>90</v>
      </c>
      <c r="C261">
        <v>-0.38</v>
      </c>
      <c r="D261">
        <v>-0.40005965005605654</v>
      </c>
      <c r="E261">
        <v>5.8600129303524887E-2</v>
      </c>
      <c r="F261">
        <v>1523.1324766258604</v>
      </c>
    </row>
    <row r="262" spans="1:6" x14ac:dyDescent="0.3">
      <c r="A262">
        <v>0.01</v>
      </c>
      <c r="B262" t="s">
        <v>90</v>
      </c>
      <c r="C262">
        <v>-0.37</v>
      </c>
      <c r="D262">
        <v>-0.38842309971829614</v>
      </c>
      <c r="E262">
        <v>5.7968103012155485E-2</v>
      </c>
      <c r="F262">
        <v>1565.4949974199276</v>
      </c>
    </row>
    <row r="263" spans="1:6" x14ac:dyDescent="0.3">
      <c r="A263">
        <v>0.01</v>
      </c>
      <c r="B263" t="s">
        <v>90</v>
      </c>
      <c r="C263">
        <v>-0.36</v>
      </c>
      <c r="D263">
        <v>-0.37688590118819004</v>
      </c>
      <c r="E263">
        <v>5.7326663370365433E-2</v>
      </c>
      <c r="F263">
        <v>1609.927922503538</v>
      </c>
    </row>
    <row r="264" spans="1:6" x14ac:dyDescent="0.3">
      <c r="A264">
        <v>0.01</v>
      </c>
      <c r="B264" t="s">
        <v>90</v>
      </c>
      <c r="C264">
        <v>-0.35</v>
      </c>
      <c r="D264">
        <v>-0.36544375427139619</v>
      </c>
      <c r="E264">
        <v>5.6675297784748724E-2</v>
      </c>
      <c r="F264">
        <v>1656.6014034719419</v>
      </c>
    </row>
    <row r="265" spans="1:6" x14ac:dyDescent="0.3">
      <c r="A265">
        <v>0.01</v>
      </c>
      <c r="B265" t="s">
        <v>90</v>
      </c>
      <c r="C265">
        <v>-0.34</v>
      </c>
      <c r="D265">
        <v>-0.35409252896224297</v>
      </c>
      <c r="E265">
        <v>5.6013431505772183E-2</v>
      </c>
      <c r="F265">
        <v>1705.7046986157766</v>
      </c>
    </row>
    <row r="266" spans="1:6" x14ac:dyDescent="0.3">
      <c r="A266">
        <v>0.01</v>
      </c>
      <c r="B266" t="s">
        <v>90</v>
      </c>
      <c r="C266">
        <v>-0.33</v>
      </c>
      <c r="D266">
        <v>-0.34282825441539394</v>
      </c>
      <c r="E266">
        <v>5.5340480518833515E-2</v>
      </c>
      <c r="F266">
        <v>1757.4486553954032</v>
      </c>
    </row>
    <row r="267" spans="1:6" x14ac:dyDescent="0.3">
      <c r="A267">
        <v>0.01</v>
      </c>
      <c r="B267" t="s">
        <v>90</v>
      </c>
      <c r="C267">
        <v>-0.32</v>
      </c>
      <c r="D267">
        <v>-0.3316471087051322</v>
      </c>
      <c r="E267">
        <v>5.4655762991451716E-2</v>
      </c>
      <c r="F267">
        <v>1812.0694024040963</v>
      </c>
    </row>
    <row r="268" spans="1:6" x14ac:dyDescent="0.3">
      <c r="A268">
        <v>0.01</v>
      </c>
      <c r="B268" t="s">
        <v>90</v>
      </c>
      <c r="C268">
        <v>-0.31</v>
      </c>
      <c r="D268">
        <v>-0.32054540930194608</v>
      </c>
      <c r="E268">
        <v>5.3958644958781582E-2</v>
      </c>
      <c r="F268">
        <v>1869.8313731788089</v>
      </c>
    </row>
    <row r="269" spans="1:6" x14ac:dyDescent="0.3">
      <c r="A269">
        <v>0.01</v>
      </c>
      <c r="B269" t="s">
        <v>90</v>
      </c>
      <c r="C269">
        <v>-0.3</v>
      </c>
      <c r="D269">
        <v>-0.30951960420311175</v>
      </c>
      <c r="E269">
        <v>5.3248343580783689E-2</v>
      </c>
      <c r="F269">
        <v>1931.0329651972927</v>
      </c>
    </row>
    <row r="270" spans="1:6" x14ac:dyDescent="0.3">
      <c r="A270">
        <v>0.01</v>
      </c>
      <c r="B270" t="s">
        <v>90</v>
      </c>
      <c r="C270">
        <v>-0.28999999999999998</v>
      </c>
      <c r="D270">
        <v>-0.29856626366017835</v>
      </c>
      <c r="E270">
        <v>5.2524087804130183E-2</v>
      </c>
      <c r="F270">
        <v>1996.0110654021641</v>
      </c>
    </row>
    <row r="271" spans="1:6" x14ac:dyDescent="0.3">
      <c r="A271">
        <v>0.01</v>
      </c>
      <c r="B271" t="s">
        <v>90</v>
      </c>
      <c r="C271">
        <v>-0.28000000000000003</v>
      </c>
      <c r="D271">
        <v>-0.2876820724517809</v>
      </c>
      <c r="E271">
        <v>5.1785030897758919E-2</v>
      </c>
      <c r="F271">
        <v>2065.1481138009531</v>
      </c>
    </row>
    <row r="272" spans="1:6" x14ac:dyDescent="0.3">
      <c r="A272">
        <v>0.01</v>
      </c>
      <c r="B272" t="s">
        <v>90</v>
      </c>
      <c r="C272">
        <v>-0.27</v>
      </c>
      <c r="D272">
        <v>-0.27686382265510007</v>
      </c>
      <c r="E272">
        <v>5.1030241287762082E-2</v>
      </c>
      <c r="F272">
        <v>2138.8801430180361</v>
      </c>
    </row>
    <row r="273" spans="1:6" x14ac:dyDescent="0.3">
      <c r="A273">
        <v>0.01</v>
      </c>
      <c r="B273" t="s">
        <v>90</v>
      </c>
      <c r="C273">
        <v>-0.26</v>
      </c>
      <c r="D273">
        <v>-0.26610840687365411</v>
      </c>
      <c r="E273">
        <v>5.0258708734534946E-2</v>
      </c>
      <c r="F273">
        <v>2217.7064503022534</v>
      </c>
    </row>
    <row r="274" spans="1:6" x14ac:dyDescent="0.3">
      <c r="A274">
        <v>0.01</v>
      </c>
      <c r="B274" t="s">
        <v>90</v>
      </c>
      <c r="C274">
        <v>-0.25</v>
      </c>
      <c r="D274">
        <v>-0.25541281188299536</v>
      </c>
      <c r="E274">
        <v>4.9469350357991708E-2</v>
      </c>
      <c r="F274">
        <v>2302.2014426151736</v>
      </c>
    </row>
    <row r="275" spans="1:6" x14ac:dyDescent="0.3">
      <c r="A275">
        <v>0.01</v>
      </c>
      <c r="B275" t="s">
        <v>90</v>
      </c>
      <c r="C275">
        <v>-0.24</v>
      </c>
      <c r="D275">
        <v>-0.24477411265935289</v>
      </c>
      <c r="E275">
        <v>4.8660957055720017E-2</v>
      </c>
      <c r="F275">
        <v>2393.0298146831292</v>
      </c>
    </row>
    <row r="276" spans="1:6" x14ac:dyDescent="0.3">
      <c r="A276">
        <v>0.01</v>
      </c>
      <c r="B276" t="s">
        <v>90</v>
      </c>
      <c r="C276">
        <v>-0.23</v>
      </c>
      <c r="D276">
        <v>-0.23418946675936678</v>
      </c>
      <c r="E276">
        <v>4.7832245231074828E-2</v>
      </c>
      <c r="F276">
        <v>2490.9644535601624</v>
      </c>
    </row>
    <row r="277" spans="1:6" x14ac:dyDescent="0.3">
      <c r="A277">
        <v>0.01</v>
      </c>
      <c r="B277" t="s">
        <v>90</v>
      </c>
      <c r="C277">
        <v>-0.22</v>
      </c>
      <c r="D277">
        <v>-0.22365610902183239</v>
      </c>
      <c r="E277">
        <v>4.6981730452407632E-2</v>
      </c>
      <c r="F277">
        <v>2596.9107702640026</v>
      </c>
    </row>
    <row r="278" spans="1:6" x14ac:dyDescent="0.3">
      <c r="A278">
        <v>0.01</v>
      </c>
      <c r="B278" t="s">
        <v>90</v>
      </c>
      <c r="C278">
        <v>-0.21</v>
      </c>
      <c r="D278">
        <v>-0.21317134656485975</v>
      </c>
      <c r="E278">
        <v>4.6107839382708148E-2</v>
      </c>
      <c r="F278">
        <v>2711.9349544469906</v>
      </c>
    </row>
    <row r="279" spans="1:6" x14ac:dyDescent="0.3">
      <c r="A279">
        <v>0.01</v>
      </c>
      <c r="B279" t="s">
        <v>90</v>
      </c>
      <c r="C279">
        <v>-0.2</v>
      </c>
      <c r="D279">
        <v>-0.20273255405408214</v>
      </c>
      <c r="E279">
        <v>4.5208756329055737E-2</v>
      </c>
      <c r="F279">
        <v>2837.3032909929511</v>
      </c>
    </row>
    <row r="280" spans="1:6" x14ac:dyDescent="0.3">
      <c r="A280">
        <v>0.01</v>
      </c>
      <c r="B280" t="s">
        <v>90</v>
      </c>
      <c r="C280">
        <v>-0.19</v>
      </c>
      <c r="D280">
        <v>-0.1923371692195453</v>
      </c>
      <c r="E280">
        <v>4.4282492019460711E-2</v>
      </c>
      <c r="F280">
        <v>2974.5302997470358</v>
      </c>
    </row>
    <row r="281" spans="1:6" x14ac:dyDescent="0.3">
      <c r="A281">
        <v>0.01</v>
      </c>
      <c r="B281" t="s">
        <v>90</v>
      </c>
      <c r="C281">
        <v>-0.18</v>
      </c>
      <c r="D281">
        <v>-0.18198268860070579</v>
      </c>
      <c r="E281">
        <v>4.3326792025358322E-2</v>
      </c>
      <c r="F281">
        <v>3125.4440237947629</v>
      </c>
    </row>
    <row r="282" spans="1:6" x14ac:dyDescent="0.3">
      <c r="A282">
        <v>0.01</v>
      </c>
      <c r="B282" t="s">
        <v>90</v>
      </c>
      <c r="C282">
        <v>-0.17</v>
      </c>
      <c r="D282">
        <v>-0.17166666350057908</v>
      </c>
      <c r="E282">
        <v>4.2339091332560315E-2</v>
      </c>
      <c r="F282">
        <v>3292.2721717667755</v>
      </c>
    </row>
    <row r="283" spans="1:6" x14ac:dyDescent="0.3">
      <c r="A283">
        <v>0.01</v>
      </c>
      <c r="B283" t="s">
        <v>90</v>
      </c>
      <c r="C283">
        <v>-0.16</v>
      </c>
      <c r="D283">
        <v>-0.16138669613152551</v>
      </c>
      <c r="E283">
        <v>4.1316484936389682E-2</v>
      </c>
      <c r="F283">
        <v>3477.7579396389542</v>
      </c>
    </row>
    <row r="284" spans="1:6" x14ac:dyDescent="0.3">
      <c r="A284">
        <v>0.01</v>
      </c>
      <c r="B284" t="s">
        <v>90</v>
      </c>
      <c r="C284">
        <v>-0.15</v>
      </c>
      <c r="D284">
        <v>-0.15114043593646675</v>
      </c>
      <c r="E284">
        <v>4.0255586386860456E-2</v>
      </c>
      <c r="F284">
        <v>3685.3209252364836</v>
      </c>
    </row>
    <row r="285" spans="1:6" x14ac:dyDescent="0.3">
      <c r="A285">
        <v>0.01</v>
      </c>
      <c r="B285" t="s">
        <v>90</v>
      </c>
      <c r="C285">
        <v>-0.14000000000000001</v>
      </c>
      <c r="D285">
        <v>-0.14092557607049394</v>
      </c>
      <c r="E285">
        <v>3.9152489982245797E-2</v>
      </c>
      <c r="F285">
        <v>3919.2795846573258</v>
      </c>
    </row>
    <row r="286" spans="1:6" x14ac:dyDescent="0.3">
      <c r="A286">
        <v>0.01</v>
      </c>
      <c r="B286" t="s">
        <v>90</v>
      </c>
      <c r="C286">
        <v>-0.13</v>
      </c>
      <c r="D286">
        <v>-0.13073985002887836</v>
      </c>
      <c r="E286">
        <v>3.8002622579055213E-2</v>
      </c>
      <c r="F286">
        <v>4185.1705477596106</v>
      </c>
    </row>
    <row r="287" spans="1:6" x14ac:dyDescent="0.3">
      <c r="A287">
        <v>0.01</v>
      </c>
      <c r="B287" t="s">
        <v>90</v>
      </c>
      <c r="C287">
        <v>-0.12</v>
      </c>
      <c r="D287">
        <v>-0.12058102840844405</v>
      </c>
      <c r="E287">
        <v>3.6800503214882894E-2</v>
      </c>
      <c r="F287">
        <v>4490.2169243166691</v>
      </c>
    </row>
    <row r="288" spans="1:6" x14ac:dyDescent="0.3">
      <c r="A288">
        <v>0.01</v>
      </c>
      <c r="B288" t="s">
        <v>90</v>
      </c>
      <c r="C288">
        <v>-0.11</v>
      </c>
      <c r="D288">
        <v>-0.1104469157900972</v>
      </c>
      <c r="E288">
        <v>3.553958064684936E-2</v>
      </c>
      <c r="F288">
        <v>4844.0270101820333</v>
      </c>
    </row>
    <row r="289" spans="1:6" x14ac:dyDescent="0.3">
      <c r="A289">
        <v>0.01</v>
      </c>
      <c r="B289" t="s">
        <v>90</v>
      </c>
      <c r="C289">
        <v>-0.1</v>
      </c>
      <c r="D289">
        <v>-0.10033534773107562</v>
      </c>
      <c r="E289">
        <v>3.4211815115912432E-2</v>
      </c>
      <c r="F289">
        <v>5259.6817226475641</v>
      </c>
    </row>
    <row r="290" spans="1:6" x14ac:dyDescent="0.3">
      <c r="A290">
        <v>0.01</v>
      </c>
      <c r="B290" t="s">
        <v>90</v>
      </c>
      <c r="C290">
        <v>-0.09</v>
      </c>
      <c r="D290">
        <v>-9.0244187856146837E-2</v>
      </c>
      <c r="E290">
        <v>3.2807178951333824E-2</v>
      </c>
      <c r="F290">
        <v>5755.4783367836717</v>
      </c>
    </row>
    <row r="291" spans="1:6" x14ac:dyDescent="0.3">
      <c r="A291">
        <v>0.01</v>
      </c>
      <c r="B291" t="s">
        <v>90</v>
      </c>
      <c r="C291">
        <v>-0.08</v>
      </c>
      <c r="D291">
        <v>-8.0171325037589683E-2</v>
      </c>
      <c r="E291">
        <v>3.1312929587217452E-2</v>
      </c>
      <c r="F291">
        <v>6357.8521268224376</v>
      </c>
    </row>
    <row r="292" spans="1:6" x14ac:dyDescent="0.3">
      <c r="A292">
        <v>0.01</v>
      </c>
      <c r="B292" t="s">
        <v>90</v>
      </c>
      <c r="C292">
        <v>-7.0000000000000007E-2</v>
      </c>
      <c r="D292">
        <v>-7.0114670654325195E-2</v>
      </c>
      <c r="E292">
        <v>2.9712338783144273E-2</v>
      </c>
      <c r="F292">
        <v>7106.5424181983162</v>
      </c>
    </row>
    <row r="293" spans="1:6" x14ac:dyDescent="0.3">
      <c r="A293">
        <v>0.01</v>
      </c>
      <c r="B293" t="s">
        <v>90</v>
      </c>
      <c r="C293">
        <v>-0.06</v>
      </c>
      <c r="D293">
        <v>-6.007215592103167E-2</v>
      </c>
      <c r="E293">
        <v>2.7982765085793417E-2</v>
      </c>
      <c r="F293">
        <v>8064.3096039145548</v>
      </c>
    </row>
    <row r="294" spans="1:6" x14ac:dyDescent="0.3">
      <c r="A294">
        <v>0.01</v>
      </c>
      <c r="B294" t="s">
        <v>90</v>
      </c>
      <c r="C294">
        <v>-0.05</v>
      </c>
      <c r="D294">
        <v>-5.0041729278491327E-2</v>
      </c>
      <c r="E294">
        <v>2.6092076902737737E-2</v>
      </c>
      <c r="F294">
        <v>9336.7898045465045</v>
      </c>
    </row>
    <row r="295" spans="1:6" x14ac:dyDescent="0.3">
      <c r="A295">
        <v>0.01</v>
      </c>
      <c r="B295" t="s">
        <v>90</v>
      </c>
      <c r="C295">
        <v>-0.04</v>
      </c>
      <c r="D295">
        <v>-4.0021353836768248E-2</v>
      </c>
      <c r="E295">
        <v>2.3992011910061006E-2</v>
      </c>
      <c r="F295">
        <v>11117.587748854618</v>
      </c>
    </row>
    <row r="296" spans="1:6" x14ac:dyDescent="0.3">
      <c r="A296">
        <v>0.01</v>
      </c>
      <c r="B296" t="s">
        <v>90</v>
      </c>
      <c r="C296">
        <v>-0.03</v>
      </c>
      <c r="D296">
        <v>-3.000900486312652E-2</v>
      </c>
      <c r="E296">
        <v>2.1603634994270614E-2</v>
      </c>
      <c r="F296">
        <v>13807.102714964174</v>
      </c>
    </row>
    <row r="297" spans="1:6" x14ac:dyDescent="0.3">
      <c r="A297">
        <v>0.01</v>
      </c>
      <c r="B297" t="s">
        <v>90</v>
      </c>
      <c r="C297">
        <v>-0.02</v>
      </c>
      <c r="D297">
        <v>-2.0002667306849624E-2</v>
      </c>
      <c r="E297">
        <v>1.8779750969217388E-2</v>
      </c>
      <c r="F297">
        <v>18403.854147887763</v>
      </c>
    </row>
    <row r="298" spans="1:6" x14ac:dyDescent="0.3">
      <c r="A298">
        <v>0.01</v>
      </c>
      <c r="B298" t="s">
        <v>90</v>
      </c>
      <c r="C298">
        <v>-0.01</v>
      </c>
      <c r="D298">
        <v>-1.0000333353334771E-2</v>
      </c>
      <c r="E298">
        <v>1.5173058196005874E-2</v>
      </c>
      <c r="F298">
        <v>28410.597689854374</v>
      </c>
    </row>
    <row r="299" spans="1:6" x14ac:dyDescent="0.3">
      <c r="A299">
        <v>0.1</v>
      </c>
      <c r="B299" t="s">
        <v>91</v>
      </c>
      <c r="C299">
        <v>-0.99</v>
      </c>
      <c r="D299">
        <v>-2.6466524123622457</v>
      </c>
      <c r="E299">
        <v>6.7954279211741603E-2</v>
      </c>
      <c r="F299">
        <v>176.8965122826265</v>
      </c>
    </row>
    <row r="300" spans="1:6" x14ac:dyDescent="0.3">
      <c r="A300">
        <v>0.1</v>
      </c>
      <c r="B300" t="s">
        <v>91</v>
      </c>
      <c r="C300">
        <v>-0.98</v>
      </c>
      <c r="D300">
        <v>-2.2975599250672945</v>
      </c>
      <c r="E300">
        <v>6.6492663132089791E-2</v>
      </c>
      <c r="F300">
        <v>202.93752426151534</v>
      </c>
    </row>
    <row r="301" spans="1:6" x14ac:dyDescent="0.3">
      <c r="A301">
        <v>0.1</v>
      </c>
      <c r="B301" t="s">
        <v>91</v>
      </c>
      <c r="C301">
        <v>-0.97</v>
      </c>
      <c r="D301">
        <v>-2.0922957200349388</v>
      </c>
      <c r="E301">
        <v>6.5467731342463198E-2</v>
      </c>
      <c r="F301">
        <v>222.24789452891429</v>
      </c>
    </row>
    <row r="302" spans="1:6" x14ac:dyDescent="0.3">
      <c r="A302">
        <v>0.1</v>
      </c>
      <c r="B302" t="s">
        <v>91</v>
      </c>
      <c r="C302">
        <v>-0.96</v>
      </c>
      <c r="D302">
        <v>-1.9459101490553128</v>
      </c>
      <c r="E302">
        <v>6.4642387025769604E-2</v>
      </c>
      <c r="F302">
        <v>238.47016403122927</v>
      </c>
    </row>
    <row r="303" spans="1:6" x14ac:dyDescent="0.3">
      <c r="A303">
        <v>0.1</v>
      </c>
      <c r="B303" t="s">
        <v>91</v>
      </c>
      <c r="C303">
        <v>-0.95</v>
      </c>
      <c r="D303">
        <v>-1.8317808230648227</v>
      </c>
      <c r="E303">
        <v>6.3934457185740534E-2</v>
      </c>
      <c r="F303">
        <v>252.88815962695392</v>
      </c>
    </row>
    <row r="304" spans="1:6" x14ac:dyDescent="0.3">
      <c r="A304">
        <v>0.1</v>
      </c>
      <c r="B304" t="s">
        <v>91</v>
      </c>
      <c r="C304">
        <v>-0.94</v>
      </c>
      <c r="D304">
        <v>-1.7380493449176362</v>
      </c>
      <c r="E304">
        <v>6.3304717424603252E-2</v>
      </c>
      <c r="F304">
        <v>266.12220637169008</v>
      </c>
    </row>
    <row r="305" spans="1:6" x14ac:dyDescent="0.3">
      <c r="A305">
        <v>0.1</v>
      </c>
      <c r="B305" t="s">
        <v>91</v>
      </c>
      <c r="C305">
        <v>-0.93</v>
      </c>
      <c r="D305">
        <v>-1.6583900199247865</v>
      </c>
      <c r="E305">
        <v>6.2731098196906504E-2</v>
      </c>
      <c r="F305">
        <v>278.52540112890449</v>
      </c>
    </row>
    <row r="306" spans="1:6" x14ac:dyDescent="0.3">
      <c r="A306">
        <v>0.1</v>
      </c>
      <c r="B306" t="s">
        <v>91</v>
      </c>
      <c r="C306">
        <v>-0.92</v>
      </c>
      <c r="D306">
        <v>-1.5890269151739731</v>
      </c>
      <c r="E306">
        <v>6.2199810480950732E-2</v>
      </c>
      <c r="F306">
        <v>290.32061420136517</v>
      </c>
    </row>
    <row r="307" spans="1:6" x14ac:dyDescent="0.3">
      <c r="A307">
        <v>0.1</v>
      </c>
      <c r="B307" t="s">
        <v>91</v>
      </c>
      <c r="C307">
        <v>-0.91</v>
      </c>
      <c r="D307">
        <v>-1.5275244253552054</v>
      </c>
      <c r="E307">
        <v>6.1701621763609722E-2</v>
      </c>
      <c r="F307">
        <v>301.6590432575141</v>
      </c>
    </row>
    <row r="308" spans="1:6" x14ac:dyDescent="0.3">
      <c r="A308">
        <v>0.1</v>
      </c>
      <c r="B308" t="s">
        <v>91</v>
      </c>
      <c r="C308">
        <v>-0.9</v>
      </c>
      <c r="D308">
        <v>-1.4722194895832204</v>
      </c>
      <c r="E308">
        <v>6.1230003811273803E-2</v>
      </c>
      <c r="F308">
        <v>312.64895772190522</v>
      </c>
    </row>
    <row r="309" spans="1:6" x14ac:dyDescent="0.3">
      <c r="A309">
        <v>0.1</v>
      </c>
      <c r="B309" t="s">
        <v>91</v>
      </c>
      <c r="C309">
        <v>-0.89</v>
      </c>
      <c r="D309">
        <v>-1.421925871130636</v>
      </c>
      <c r="E309">
        <v>6.0780127551780569E-2</v>
      </c>
      <c r="F309">
        <v>323.37125821964423</v>
      </c>
    </row>
    <row r="310" spans="1:6" x14ac:dyDescent="0.3">
      <c r="A310">
        <v>0.1</v>
      </c>
      <c r="B310" t="s">
        <v>91</v>
      </c>
      <c r="C310">
        <v>-0.88</v>
      </c>
      <c r="D310">
        <v>-1.3757676565209744</v>
      </c>
      <c r="E310">
        <v>6.0348354770465767E-2</v>
      </c>
      <c r="F310">
        <v>333.88850275144478</v>
      </c>
    </row>
    <row r="311" spans="1:6" x14ac:dyDescent="0.3">
      <c r="A311">
        <v>0.1</v>
      </c>
      <c r="B311" t="s">
        <v>91</v>
      </c>
      <c r="C311">
        <v>-0.87</v>
      </c>
      <c r="D311">
        <v>-1.333079629696525</v>
      </c>
      <c r="E311">
        <v>5.9931822232894345E-2</v>
      </c>
      <c r="F311">
        <v>344.25052417958636</v>
      </c>
    </row>
    <row r="312" spans="1:6" x14ac:dyDescent="0.3">
      <c r="A312">
        <v>0.1</v>
      </c>
      <c r="B312" t="s">
        <v>91</v>
      </c>
      <c r="C312">
        <v>-0.86</v>
      </c>
      <c r="D312">
        <v>-1.2933446720489712</v>
      </c>
      <c r="E312">
        <v>5.9528266699729847E-2</v>
      </c>
      <c r="F312">
        <v>354.49801538537236</v>
      </c>
    </row>
    <row r="313" spans="1:6" x14ac:dyDescent="0.3">
      <c r="A313">
        <v>0.1</v>
      </c>
      <c r="B313" t="s">
        <v>91</v>
      </c>
      <c r="C313">
        <v>-0.85</v>
      </c>
      <c r="D313">
        <v>-1.2561528119880574</v>
      </c>
      <c r="E313">
        <v>5.9135846873682903E-2</v>
      </c>
      <c r="F313">
        <v>364.66496745949655</v>
      </c>
    </row>
    <row r="314" spans="1:6" x14ac:dyDescent="0.3">
      <c r="A314">
        <v>0.1</v>
      </c>
      <c r="B314" t="s">
        <v>91</v>
      </c>
      <c r="C314">
        <v>-0.84</v>
      </c>
      <c r="D314">
        <v>-1.2211735176846021</v>
      </c>
      <c r="E314">
        <v>5.8752997446634612E-2</v>
      </c>
      <c r="F314">
        <v>374.78037828384925</v>
      </c>
    </row>
    <row r="315" spans="1:6" x14ac:dyDescent="0.3">
      <c r="A315">
        <v>0.1</v>
      </c>
      <c r="B315" t="s">
        <v>91</v>
      </c>
      <c r="C315">
        <v>-0.83</v>
      </c>
      <c r="D315">
        <v>-1.1881364043926024</v>
      </c>
      <c r="E315">
        <v>5.8378480492441737E-2</v>
      </c>
      <c r="F315">
        <v>384.86937896056145</v>
      </c>
    </row>
    <row r="316" spans="1:6" x14ac:dyDescent="0.3">
      <c r="A316">
        <v>0.1</v>
      </c>
      <c r="B316" t="s">
        <v>91</v>
      </c>
      <c r="C316">
        <v>-0.82</v>
      </c>
      <c r="D316">
        <v>-1.1568174645903151</v>
      </c>
      <c r="E316">
        <v>5.8011159047065074E-2</v>
      </c>
      <c r="F316">
        <v>394.95421652640704</v>
      </c>
    </row>
    <row r="317" spans="1:6" x14ac:dyDescent="0.3">
      <c r="A317">
        <v>0.1</v>
      </c>
      <c r="B317" t="s">
        <v>91</v>
      </c>
      <c r="C317">
        <v>-0.81</v>
      </c>
      <c r="D317">
        <v>-1.1270290260496929</v>
      </c>
      <c r="E317">
        <v>5.7650141621508319E-2</v>
      </c>
      <c r="F317">
        <v>405.05479556737441</v>
      </c>
    </row>
    <row r="318" spans="1:6" x14ac:dyDescent="0.3">
      <c r="A318">
        <v>0.1</v>
      </c>
      <c r="B318" t="s">
        <v>91</v>
      </c>
      <c r="C318">
        <v>-0.8</v>
      </c>
      <c r="D318">
        <v>-1.0986122886681098</v>
      </c>
      <c r="E318">
        <v>5.7294619597537545E-2</v>
      </c>
      <c r="F318">
        <v>415.18926216102437</v>
      </c>
    </row>
    <row r="319" spans="1:6" x14ac:dyDescent="0.3">
      <c r="A319">
        <v>0.1</v>
      </c>
      <c r="B319" t="s">
        <v>91</v>
      </c>
      <c r="C319">
        <v>-0.79</v>
      </c>
      <c r="D319">
        <v>-1.0714316840586662</v>
      </c>
      <c r="E319">
        <v>5.6943844324017473E-2</v>
      </c>
      <c r="F319">
        <v>425.37439847765165</v>
      </c>
    </row>
    <row r="320" spans="1:6" x14ac:dyDescent="0.3">
      <c r="A320">
        <v>0.1</v>
      </c>
      <c r="B320" t="s">
        <v>91</v>
      </c>
      <c r="C320">
        <v>-0.78</v>
      </c>
      <c r="D320">
        <v>-1.0453705484668847</v>
      </c>
      <c r="E320">
        <v>5.6597219590999948E-2</v>
      </c>
      <c r="F320">
        <v>435.62585192282972</v>
      </c>
    </row>
    <row r="321" spans="1:6" x14ac:dyDescent="0.3">
      <c r="A321">
        <v>0.1</v>
      </c>
      <c r="B321" t="s">
        <v>91</v>
      </c>
      <c r="C321">
        <v>-0.77</v>
      </c>
      <c r="D321">
        <v>-1.0203277583223398</v>
      </c>
      <c r="E321">
        <v>5.6254178754780927E-2</v>
      </c>
      <c r="F321">
        <v>445.95846033491688</v>
      </c>
    </row>
    <row r="322" spans="1:6" x14ac:dyDescent="0.3">
      <c r="A322">
        <v>0.1</v>
      </c>
      <c r="B322" t="s">
        <v>91</v>
      </c>
      <c r="C322">
        <v>-0.76</v>
      </c>
      <c r="D322">
        <v>-0.99621508234510314</v>
      </c>
      <c r="E322">
        <v>5.5914218932785836E-2</v>
      </c>
      <c r="F322">
        <v>456.3864232650381</v>
      </c>
    </row>
    <row r="323" spans="1:6" x14ac:dyDescent="0.3">
      <c r="A323">
        <v>0.1</v>
      </c>
      <c r="B323" t="s">
        <v>91</v>
      </c>
      <c r="C323">
        <v>-0.75</v>
      </c>
      <c r="D323">
        <v>-0.97295507452765673</v>
      </c>
      <c r="E323">
        <v>5.5576882856960601E-2</v>
      </c>
      <c r="F323">
        <v>466.92347827023593</v>
      </c>
    </row>
    <row r="324" spans="1:6" x14ac:dyDescent="0.3">
      <c r="A324">
        <v>0.1</v>
      </c>
      <c r="B324" t="s">
        <v>91</v>
      </c>
      <c r="C324">
        <v>-0.74</v>
      </c>
      <c r="D324">
        <v>-0.95047938059652348</v>
      </c>
      <c r="E324">
        <v>5.52417629196746E-2</v>
      </c>
      <c r="F324">
        <v>477.58303494286662</v>
      </c>
    </row>
    <row r="325" spans="1:6" x14ac:dyDescent="0.3">
      <c r="A325">
        <v>0.1</v>
      </c>
      <c r="B325" t="s">
        <v>91</v>
      </c>
      <c r="C325">
        <v>-0.73</v>
      </c>
      <c r="D325">
        <v>-0.92872736424672497</v>
      </c>
      <c r="E325">
        <v>5.4908494304480839E-2</v>
      </c>
      <c r="F325">
        <v>488.37829839672651</v>
      </c>
    </row>
    <row r="326" spans="1:6" x14ac:dyDescent="0.3">
      <c r="A326">
        <v>0.1</v>
      </c>
      <c r="B326" t="s">
        <v>91</v>
      </c>
      <c r="C326">
        <v>-0.72</v>
      </c>
      <c r="D326">
        <v>-0.90764498331912458</v>
      </c>
      <c r="E326">
        <v>5.4576702766993737E-2</v>
      </c>
      <c r="F326">
        <v>499.32242162570594</v>
      </c>
    </row>
    <row r="327" spans="1:6" x14ac:dyDescent="0.3">
      <c r="A327">
        <v>0.1</v>
      </c>
      <c r="B327" t="s">
        <v>91</v>
      </c>
      <c r="C327">
        <v>-0.71</v>
      </c>
      <c r="D327">
        <v>-0.88718386325809284</v>
      </c>
      <c r="E327">
        <v>5.4246075857077677E-2</v>
      </c>
      <c r="F327">
        <v>510.4285359087956</v>
      </c>
    </row>
    <row r="328" spans="1:6" x14ac:dyDescent="0.3">
      <c r="A328">
        <v>0.1</v>
      </c>
      <c r="B328" t="s">
        <v>91</v>
      </c>
      <c r="C328">
        <v>-0.7</v>
      </c>
      <c r="D328">
        <v>-0.86730052769405308</v>
      </c>
      <c r="E328">
        <v>5.3916308252629067E-2</v>
      </c>
      <c r="F328">
        <v>521.70988596066741</v>
      </c>
    </row>
    <row r="329" spans="1:6" x14ac:dyDescent="0.3">
      <c r="A329">
        <v>0.1</v>
      </c>
      <c r="B329" t="s">
        <v>91</v>
      </c>
      <c r="C329">
        <v>-0.69</v>
      </c>
      <c r="D329">
        <v>-0.84795575521896349</v>
      </c>
      <c r="E329">
        <v>5.3587103909784578E-2</v>
      </c>
      <c r="F329">
        <v>533.17991021538626</v>
      </c>
    </row>
    <row r="330" spans="1:6" x14ac:dyDescent="0.3">
      <c r="A330">
        <v>0.1</v>
      </c>
      <c r="B330" t="s">
        <v>91</v>
      </c>
      <c r="C330">
        <v>-0.68</v>
      </c>
      <c r="D330">
        <v>-0.82911403830176633</v>
      </c>
      <c r="E330">
        <v>5.3258220288814974E-2</v>
      </c>
      <c r="F330">
        <v>544.85227097204813</v>
      </c>
    </row>
    <row r="331" spans="1:6" x14ac:dyDescent="0.3">
      <c r="A331">
        <v>0.1</v>
      </c>
      <c r="B331" t="s">
        <v>91</v>
      </c>
      <c r="C331">
        <v>-0.67</v>
      </c>
      <c r="D331">
        <v>-0.81074312547513749</v>
      </c>
      <c r="E331">
        <v>5.2929389394296776E-2</v>
      </c>
      <c r="F331">
        <v>556.74100976326986</v>
      </c>
    </row>
    <row r="332" spans="1:6" x14ac:dyDescent="0.3">
      <c r="A332">
        <v>0.1</v>
      </c>
      <c r="B332" t="s">
        <v>91</v>
      </c>
      <c r="C332">
        <v>-0.66</v>
      </c>
      <c r="D332">
        <v>-0.79281363187019105</v>
      </c>
      <c r="E332">
        <v>5.260036512811677E-2</v>
      </c>
      <c r="F332">
        <v>568.8605726718373</v>
      </c>
    </row>
    <row r="333" spans="1:6" x14ac:dyDescent="0.3">
      <c r="A333">
        <v>0.1</v>
      </c>
      <c r="B333" t="s">
        <v>91</v>
      </c>
      <c r="C333">
        <v>-0.65</v>
      </c>
      <c r="D333">
        <v>-0.7752987062055835</v>
      </c>
      <c r="E333">
        <v>5.2270913389783791E-2</v>
      </c>
      <c r="F333">
        <v>581.22589335313171</v>
      </c>
    </row>
    <row r="334" spans="1:6" x14ac:dyDescent="0.3">
      <c r="A334">
        <v>0.1</v>
      </c>
      <c r="B334" t="s">
        <v>91</v>
      </c>
      <c r="C334">
        <v>-0.64</v>
      </c>
      <c r="D334">
        <v>-0.7581737446840443</v>
      </c>
      <c r="E334">
        <v>5.1940808860050987E-2</v>
      </c>
      <c r="F334">
        <v>593.85247089396807</v>
      </c>
    </row>
    <row r="335" spans="1:6" x14ac:dyDescent="0.3">
      <c r="A335">
        <v>0.1</v>
      </c>
      <c r="B335" t="s">
        <v>91</v>
      </c>
      <c r="C335">
        <v>-0.63</v>
      </c>
      <c r="D335">
        <v>-0.74141614408126888</v>
      </c>
      <c r="E335">
        <v>5.1609839405686996E-2</v>
      </c>
      <c r="F335">
        <v>606.75644058801004</v>
      </c>
    </row>
    <row r="336" spans="1:6" x14ac:dyDescent="0.3">
      <c r="A336">
        <v>0.1</v>
      </c>
      <c r="B336" t="s">
        <v>91</v>
      </c>
      <c r="C336">
        <v>-0.62</v>
      </c>
      <c r="D336">
        <v>-0.72500508775299921</v>
      </c>
      <c r="E336">
        <v>5.1277775414129818E-2</v>
      </c>
      <c r="F336">
        <v>619.95469289948892</v>
      </c>
    </row>
    <row r="337" spans="1:6" x14ac:dyDescent="0.3">
      <c r="A337">
        <v>0.1</v>
      </c>
      <c r="B337" t="s">
        <v>91</v>
      </c>
      <c r="C337">
        <v>-0.61</v>
      </c>
      <c r="D337">
        <v>-0.7089213594274083</v>
      </c>
      <c r="E337">
        <v>5.0944407265096109E-2</v>
      </c>
      <c r="F337">
        <v>633.46491120540122</v>
      </c>
    </row>
    <row r="338" spans="1:6" x14ac:dyDescent="0.3">
      <c r="A338">
        <v>0.1</v>
      </c>
      <c r="B338" t="s">
        <v>91</v>
      </c>
      <c r="C338">
        <v>-0.6</v>
      </c>
      <c r="D338">
        <v>-0.69314718055994529</v>
      </c>
      <c r="E338">
        <v>5.0609548293073375E-2</v>
      </c>
      <c r="F338">
        <v>647.30565322251789</v>
      </c>
    </row>
    <row r="339" spans="1:6" x14ac:dyDescent="0.3">
      <c r="A339">
        <v>0.1</v>
      </c>
      <c r="B339" t="s">
        <v>91</v>
      </c>
      <c r="C339">
        <v>-0.59</v>
      </c>
      <c r="D339">
        <v>-0.67766606775796179</v>
      </c>
      <c r="E339">
        <v>5.0272977643575127E-2</v>
      </c>
      <c r="F339">
        <v>661.49652544117885</v>
      </c>
    </row>
    <row r="340" spans="1:6" x14ac:dyDescent="0.3">
      <c r="A340">
        <v>0.1</v>
      </c>
      <c r="B340" t="s">
        <v>91</v>
      </c>
      <c r="C340">
        <v>-0.57999999999999996</v>
      </c>
      <c r="D340">
        <v>-0.66246270737179924</v>
      </c>
      <c r="E340">
        <v>4.9934508632006346E-2</v>
      </c>
      <c r="F340">
        <v>676.05819083954077</v>
      </c>
    </row>
    <row r="341" spans="1:6" x14ac:dyDescent="0.3">
      <c r="A341">
        <v>0.1</v>
      </c>
      <c r="B341" t="s">
        <v>91</v>
      </c>
      <c r="C341">
        <v>-0.56999999999999995</v>
      </c>
      <c r="D341">
        <v>-0.64752284482737277</v>
      </c>
      <c r="E341">
        <v>4.9593912533436875E-2</v>
      </c>
      <c r="F341">
        <v>691.01259170853064</v>
      </c>
    </row>
    <row r="342" spans="1:6" x14ac:dyDescent="0.3">
      <c r="A342">
        <v>0.1</v>
      </c>
      <c r="B342" t="s">
        <v>91</v>
      </c>
      <c r="C342">
        <v>-0.56000000000000005</v>
      </c>
      <c r="D342">
        <v>-0.63283318666563804</v>
      </c>
      <c r="E342">
        <v>4.9251022592781482E-2</v>
      </c>
      <c r="F342">
        <v>706.38291240083481</v>
      </c>
    </row>
    <row r="343" spans="1:6" x14ac:dyDescent="0.3">
      <c r="A343">
        <v>0.1</v>
      </c>
      <c r="B343" t="s">
        <v>91</v>
      </c>
      <c r="C343">
        <v>-0.55000000000000004</v>
      </c>
      <c r="D343">
        <v>-0.61838131357446346</v>
      </c>
      <c r="E343">
        <v>4.8905612809995572E-2</v>
      </c>
      <c r="F343">
        <v>722.19389915458157</v>
      </c>
    </row>
    <row r="344" spans="1:6" x14ac:dyDescent="0.3">
      <c r="A344">
        <v>0.1</v>
      </c>
      <c r="B344" t="s">
        <v>91</v>
      </c>
      <c r="C344">
        <v>-0.54</v>
      </c>
      <c r="D344">
        <v>-0.60415560296226711</v>
      </c>
      <c r="E344">
        <v>4.8557483874665783E-2</v>
      </c>
      <c r="F344">
        <v>738.47187155235099</v>
      </c>
    </row>
    <row r="345" spans="1:6" x14ac:dyDescent="0.3">
      <c r="A345">
        <v>0.1</v>
      </c>
      <c r="B345" t="s">
        <v>91</v>
      </c>
      <c r="C345">
        <v>-0.53</v>
      </c>
      <c r="D345">
        <v>-0.59014515984118854</v>
      </c>
      <c r="E345">
        <v>4.8206436168760462E-2</v>
      </c>
      <c r="F345">
        <v>755.24492304711043</v>
      </c>
    </row>
    <row r="346" spans="1:6" x14ac:dyDescent="0.3">
      <c r="A346">
        <v>0.1</v>
      </c>
      <c r="B346" t="s">
        <v>91</v>
      </c>
      <c r="C346">
        <v>-0.52</v>
      </c>
      <c r="D346">
        <v>-0.57633975496919276</v>
      </c>
      <c r="E346">
        <v>4.7852256100902234E-2</v>
      </c>
      <c r="F346">
        <v>772.5431227675881</v>
      </c>
    </row>
    <row r="347" spans="1:6" x14ac:dyDescent="0.3">
      <c r="A347">
        <v>0.1</v>
      </c>
      <c r="B347" t="s">
        <v>91</v>
      </c>
      <c r="C347">
        <v>-0.51</v>
      </c>
      <c r="D347">
        <v>-0.56272976935214891</v>
      </c>
      <c r="E347">
        <v>4.749474169222398E-2</v>
      </c>
      <c r="F347">
        <v>790.39866499216726</v>
      </c>
    </row>
    <row r="348" spans="1:6" x14ac:dyDescent="0.3">
      <c r="A348">
        <v>0.1</v>
      </c>
      <c r="B348" t="s">
        <v>91</v>
      </c>
      <c r="C348">
        <v>-0.5</v>
      </c>
      <c r="D348">
        <v>-0.54930614433405489</v>
      </c>
      <c r="E348">
        <v>4.713364725436154E-2</v>
      </c>
      <c r="F348">
        <v>808.84619441673613</v>
      </c>
    </row>
    <row r="349" spans="1:6" x14ac:dyDescent="0.3">
      <c r="A349">
        <v>0.1</v>
      </c>
      <c r="B349" t="s">
        <v>91</v>
      </c>
      <c r="C349">
        <v>-0.49</v>
      </c>
      <c r="D349">
        <v>-0.53606033661056662</v>
      </c>
      <c r="E349">
        <v>4.6768773153500566E-2</v>
      </c>
      <c r="F349">
        <v>827.9228741756184</v>
      </c>
    </row>
    <row r="350" spans="1:6" x14ac:dyDescent="0.3">
      <c r="A350">
        <v>0.1</v>
      </c>
      <c r="B350" t="s">
        <v>91</v>
      </c>
      <c r="C350">
        <v>-0.48</v>
      </c>
      <c r="D350">
        <v>-0.5229842775913438</v>
      </c>
      <c r="E350">
        <v>4.6399882640057837E-2</v>
      </c>
      <c r="F350">
        <v>847.6688209167462</v>
      </c>
    </row>
    <row r="351" spans="1:6" x14ac:dyDescent="0.3">
      <c r="A351">
        <v>0.1</v>
      </c>
      <c r="B351" t="s">
        <v>91</v>
      </c>
      <c r="C351">
        <v>-0.47</v>
      </c>
      <c r="D351">
        <v>-0.51007033661330725</v>
      </c>
      <c r="E351">
        <v>4.6026737355536265E-2</v>
      </c>
      <c r="F351">
        <v>868.12734133808249</v>
      </c>
    </row>
    <row r="352" spans="1:6" x14ac:dyDescent="0.3">
      <c r="A352">
        <v>0.1</v>
      </c>
      <c r="B352" t="s">
        <v>91</v>
      </c>
      <c r="C352">
        <v>-0.46</v>
      </c>
      <c r="D352">
        <v>-0.49731128757203097</v>
      </c>
      <c r="E352">
        <v>4.5649092497462858E-2</v>
      </c>
      <c r="F352">
        <v>889.34528498835095</v>
      </c>
    </row>
    <row r="353" spans="1:6" x14ac:dyDescent="0.3">
      <c r="A353">
        <v>0.1</v>
      </c>
      <c r="B353" t="s">
        <v>91</v>
      </c>
      <c r="C353">
        <v>-0.45</v>
      </c>
      <c r="D353">
        <v>-0.48470027859405168</v>
      </c>
      <c r="E353">
        <v>4.5266704394254134E-2</v>
      </c>
      <c r="F353">
        <v>911.37341223429291</v>
      </c>
    </row>
    <row r="354" spans="1:6" x14ac:dyDescent="0.3">
      <c r="A354">
        <v>0.1</v>
      </c>
      <c r="B354" t="s">
        <v>91</v>
      </c>
      <c r="C354">
        <v>-0.44</v>
      </c>
      <c r="D354">
        <v>-0.47223080442042559</v>
      </c>
      <c r="E354">
        <v>4.4879299668700502E-2</v>
      </c>
      <c r="F354">
        <v>934.26690746798624</v>
      </c>
    </row>
    <row r="355" spans="1:6" x14ac:dyDescent="0.3">
      <c r="A355">
        <v>0.1</v>
      </c>
      <c r="B355" t="s">
        <v>91</v>
      </c>
      <c r="C355">
        <v>-0.43</v>
      </c>
      <c r="D355">
        <v>-0.45989668121267852</v>
      </c>
      <c r="E355">
        <v>4.4486620231440531E-2</v>
      </c>
      <c r="F355">
        <v>958.08576514016715</v>
      </c>
    </row>
    <row r="356" spans="1:6" x14ac:dyDescent="0.3">
      <c r="A356">
        <v>0.1</v>
      </c>
      <c r="B356" t="s">
        <v>91</v>
      </c>
      <c r="C356">
        <v>-0.42</v>
      </c>
      <c r="D356">
        <v>-0.4476920235274206</v>
      </c>
      <c r="E356">
        <v>4.4088354621030272E-2</v>
      </c>
      <c r="F356">
        <v>982.89553513601697</v>
      </c>
    </row>
    <row r="357" spans="1:6" x14ac:dyDescent="0.3">
      <c r="A357">
        <v>0.1</v>
      </c>
      <c r="B357" t="s">
        <v>91</v>
      </c>
      <c r="C357">
        <v>-0.41</v>
      </c>
      <c r="D357">
        <v>-0.43561122323622431</v>
      </c>
      <c r="E357">
        <v>4.3684231838094417E-2</v>
      </c>
      <c r="F357">
        <v>1008.7677165475964</v>
      </c>
    </row>
    <row r="358" spans="1:6" x14ac:dyDescent="0.3">
      <c r="A358">
        <v>0.1</v>
      </c>
      <c r="B358" t="s">
        <v>91</v>
      </c>
      <c r="C358">
        <v>-0.4</v>
      </c>
      <c r="D358">
        <v>-0.42364893019360178</v>
      </c>
      <c r="E358">
        <v>4.3273927925163637E-2</v>
      </c>
      <c r="F358">
        <v>1035.780752171288</v>
      </c>
    </row>
    <row r="359" spans="1:6" x14ac:dyDescent="0.3">
      <c r="A359">
        <v>0.1</v>
      </c>
      <c r="B359" t="s">
        <v>91</v>
      </c>
      <c r="C359">
        <v>-0.39</v>
      </c>
      <c r="D359">
        <v>-0.41180003447869035</v>
      </c>
      <c r="E359">
        <v>4.2857109634952179E-2</v>
      </c>
      <c r="F359">
        <v>1064.0207625569744</v>
      </c>
    </row>
    <row r="360" spans="1:6" x14ac:dyDescent="0.3">
      <c r="A360">
        <v>0.1</v>
      </c>
      <c r="B360" t="s">
        <v>91</v>
      </c>
      <c r="C360">
        <v>-0.38</v>
      </c>
      <c r="D360">
        <v>-0.40005965005605654</v>
      </c>
      <c r="E360">
        <v>4.2433428003818732E-2</v>
      </c>
      <c r="F360">
        <v>1093.5825435672946</v>
      </c>
    </row>
    <row r="361" spans="1:6" x14ac:dyDescent="0.3">
      <c r="A361">
        <v>0.1</v>
      </c>
      <c r="B361" t="s">
        <v>91</v>
      </c>
      <c r="C361">
        <v>-0.37</v>
      </c>
      <c r="D361">
        <v>-0.38842309971829614</v>
      </c>
      <c r="E361">
        <v>4.2002524039725625E-2</v>
      </c>
      <c r="F361">
        <v>1124.5706788080588</v>
      </c>
    </row>
    <row r="362" spans="1:6" x14ac:dyDescent="0.3">
      <c r="A362">
        <v>0.1</v>
      </c>
      <c r="B362" t="s">
        <v>91</v>
      </c>
      <c r="C362">
        <v>-0.36</v>
      </c>
      <c r="D362">
        <v>-0.37688590118819004</v>
      </c>
      <c r="E362">
        <v>4.156399854272437E-2</v>
      </c>
      <c r="F362">
        <v>1157.1009612619887</v>
      </c>
    </row>
    <row r="363" spans="1:6" x14ac:dyDescent="0.3">
      <c r="A363">
        <v>0.1</v>
      </c>
      <c r="B363" t="s">
        <v>91</v>
      </c>
      <c r="C363">
        <v>-0.35</v>
      </c>
      <c r="D363">
        <v>-0.36544375427139619</v>
      </c>
      <c r="E363">
        <v>4.1117465542360357E-2</v>
      </c>
      <c r="F363">
        <v>1191.3017355587788</v>
      </c>
    </row>
    <row r="364" spans="1:6" x14ac:dyDescent="0.3">
      <c r="A364">
        <v>0.1</v>
      </c>
      <c r="B364" t="s">
        <v>91</v>
      </c>
      <c r="C364">
        <v>-0.34</v>
      </c>
      <c r="D364">
        <v>-0.35409252896224297</v>
      </c>
      <c r="E364">
        <v>4.0662463254888044E-2</v>
      </c>
      <c r="F364">
        <v>1227.316027882385</v>
      </c>
    </row>
    <row r="365" spans="1:6" x14ac:dyDescent="0.3">
      <c r="A365">
        <v>0.1</v>
      </c>
      <c r="B365" t="s">
        <v>91</v>
      </c>
      <c r="C365">
        <v>-0.33</v>
      </c>
      <c r="D365">
        <v>-0.34282825441539394</v>
      </c>
      <c r="E365">
        <v>4.019853122618517E-2</v>
      </c>
      <c r="F365">
        <v>1265.303374538096</v>
      </c>
    </row>
    <row r="366" spans="1:6" x14ac:dyDescent="0.3">
      <c r="A366">
        <v>0.1</v>
      </c>
      <c r="B366" t="s">
        <v>91</v>
      </c>
      <c r="C366">
        <v>-0.32</v>
      </c>
      <c r="D366">
        <v>-0.3316471087051322</v>
      </c>
      <c r="E366">
        <v>3.9725169082255006E-2</v>
      </c>
      <c r="F366">
        <v>1305.442476694667</v>
      </c>
    </row>
    <row r="367" spans="1:6" x14ac:dyDescent="0.3">
      <c r="A367">
        <v>0.1</v>
      </c>
      <c r="B367" t="s">
        <v>91</v>
      </c>
      <c r="C367">
        <v>-0.31</v>
      </c>
      <c r="D367">
        <v>-0.32054540930194608</v>
      </c>
      <c r="E367">
        <v>3.9241854251416672E-2</v>
      </c>
      <c r="F367">
        <v>1347.9340874060165</v>
      </c>
    </row>
    <row r="368" spans="1:6" x14ac:dyDescent="0.3">
      <c r="A368">
        <v>0.1</v>
      </c>
      <c r="B368" t="s">
        <v>91</v>
      </c>
      <c r="C368">
        <v>-0.3</v>
      </c>
      <c r="D368">
        <v>-0.30951960420311175</v>
      </c>
      <c r="E368">
        <v>3.8748002266745546E-2</v>
      </c>
      <c r="F368">
        <v>1393.0047348418345</v>
      </c>
    </row>
    <row r="369" spans="1:6" x14ac:dyDescent="0.3">
      <c r="A369">
        <v>0.1</v>
      </c>
      <c r="B369" t="s">
        <v>91</v>
      </c>
      <c r="C369">
        <v>-0.28999999999999998</v>
      </c>
      <c r="D369">
        <v>-0.29856626366017835</v>
      </c>
      <c r="E369">
        <v>3.824299648297573E-2</v>
      </c>
      <c r="F369">
        <v>1440.910834643337</v>
      </c>
    </row>
    <row r="370" spans="1:6" x14ac:dyDescent="0.3">
      <c r="A370">
        <v>0.1</v>
      </c>
      <c r="B370" t="s">
        <v>91</v>
      </c>
      <c r="C370">
        <v>-0.28000000000000003</v>
      </c>
      <c r="D370">
        <v>-0.2876820724517809</v>
      </c>
      <c r="E370">
        <v>3.7726160729349485E-2</v>
      </c>
      <c r="F370">
        <v>1491.9439519154653</v>
      </c>
    </row>
    <row r="371" spans="1:6" x14ac:dyDescent="0.3">
      <c r="A371">
        <v>0.1</v>
      </c>
      <c r="B371" t="s">
        <v>91</v>
      </c>
      <c r="C371">
        <v>-0.27</v>
      </c>
      <c r="D371">
        <v>-0.27686382265510007</v>
      </c>
      <c r="E371">
        <v>3.7196777715309062E-2</v>
      </c>
      <c r="F371">
        <v>1546.4369224558034</v>
      </c>
    </row>
    <row r="372" spans="1:6" x14ac:dyDescent="0.3">
      <c r="A372">
        <v>0.1</v>
      </c>
      <c r="B372" t="s">
        <v>91</v>
      </c>
      <c r="C372">
        <v>-0.26</v>
      </c>
      <c r="D372">
        <v>-0.26610840687365411</v>
      </c>
      <c r="E372">
        <v>3.6654062730021711E-2</v>
      </c>
      <c r="F372">
        <v>1604.7715990660447</v>
      </c>
    </row>
    <row r="373" spans="1:6" x14ac:dyDescent="0.3">
      <c r="A373">
        <v>0.1</v>
      </c>
      <c r="B373" t="s">
        <v>91</v>
      </c>
      <c r="C373">
        <v>-0.25</v>
      </c>
      <c r="D373">
        <v>-0.25541281188299536</v>
      </c>
      <c r="E373">
        <v>3.6097149626941098E-2</v>
      </c>
      <c r="F373">
        <v>1667.388313729017</v>
      </c>
    </row>
    <row r="374" spans="1:6" x14ac:dyDescent="0.3">
      <c r="A374">
        <v>0.1</v>
      </c>
      <c r="B374" t="s">
        <v>91</v>
      </c>
      <c r="C374">
        <v>-0.24</v>
      </c>
      <c r="D374">
        <v>-0.24477411265935289</v>
      </c>
      <c r="E374">
        <v>3.5525110263854999E-2</v>
      </c>
      <c r="F374">
        <v>1734.7973572239036</v>
      </c>
    </row>
    <row r="375" spans="1:6" x14ac:dyDescent="0.3">
      <c r="A375">
        <v>0.1</v>
      </c>
      <c r="B375" t="s">
        <v>91</v>
      </c>
      <c r="C375">
        <v>-0.23</v>
      </c>
      <c r="D375">
        <v>-0.23418946675936678</v>
      </c>
      <c r="E375">
        <v>3.4936887078639768E-2</v>
      </c>
      <c r="F375">
        <v>1807.5939928089181</v>
      </c>
    </row>
    <row r="376" spans="1:6" x14ac:dyDescent="0.3">
      <c r="A376">
        <v>0.1</v>
      </c>
      <c r="B376" t="s">
        <v>91</v>
      </c>
      <c r="C376">
        <v>-0.22</v>
      </c>
      <c r="D376">
        <v>-0.22365610902183239</v>
      </c>
      <c r="E376">
        <v>3.4331346701878096E-2</v>
      </c>
      <c r="F376">
        <v>1886.4763989387318</v>
      </c>
    </row>
    <row r="377" spans="1:6" x14ac:dyDescent="0.3">
      <c r="A377">
        <v>0.1</v>
      </c>
      <c r="B377" t="s">
        <v>91</v>
      </c>
      <c r="C377">
        <v>-0.21</v>
      </c>
      <c r="D377">
        <v>-0.21317134656485975</v>
      </c>
      <c r="E377">
        <v>3.3707225299907044E-2</v>
      </c>
      <c r="F377">
        <v>1972.2694202791422</v>
      </c>
    </row>
    <row r="378" spans="1:6" x14ac:dyDescent="0.3">
      <c r="A378">
        <v>0.1</v>
      </c>
      <c r="B378" t="s">
        <v>91</v>
      </c>
      <c r="C378">
        <v>-0.2</v>
      </c>
      <c r="D378">
        <v>-0.20273255405408214</v>
      </c>
      <c r="E378">
        <v>3.3063108338972011E-2</v>
      </c>
      <c r="F378">
        <v>2065.954820061635</v>
      </c>
    </row>
    <row r="379" spans="1:6" x14ac:dyDescent="0.3">
      <c r="A379">
        <v>0.1</v>
      </c>
      <c r="B379" t="s">
        <v>91</v>
      </c>
      <c r="C379">
        <v>-0.19</v>
      </c>
      <c r="D379">
        <v>-0.1923371692195453</v>
      </c>
      <c r="E379">
        <v>3.2397401217828012E-2</v>
      </c>
      <c r="F379">
        <v>2168.7107256354211</v>
      </c>
    </row>
    <row r="380" spans="1:6" x14ac:dyDescent="0.3">
      <c r="A380">
        <v>0.1</v>
      </c>
      <c r="B380" t="s">
        <v>91</v>
      </c>
      <c r="C380">
        <v>-0.18</v>
      </c>
      <c r="D380">
        <v>-0.18198268860070579</v>
      </c>
      <c r="E380">
        <v>3.1708332907139453E-2</v>
      </c>
      <c r="F380">
        <v>2281.9631605715967</v>
      </c>
    </row>
    <row r="381" spans="1:6" x14ac:dyDescent="0.3">
      <c r="A381">
        <v>0.1</v>
      </c>
      <c r="B381" t="s">
        <v>91</v>
      </c>
      <c r="C381">
        <v>-0.17</v>
      </c>
      <c r="D381">
        <v>-0.17166666350057908</v>
      </c>
      <c r="E381">
        <v>3.0993867116370945E-2</v>
      </c>
      <c r="F381">
        <v>2407.4559845158774</v>
      </c>
    </row>
    <row r="382" spans="1:6" x14ac:dyDescent="0.3">
      <c r="A382">
        <v>0.1</v>
      </c>
      <c r="B382" t="s">
        <v>91</v>
      </c>
      <c r="C382">
        <v>-0.16</v>
      </c>
      <c r="D382">
        <v>-0.16138669613152551</v>
      </c>
      <c r="E382">
        <v>3.0251700005228536E-2</v>
      </c>
      <c r="F382">
        <v>2547.3444964386467</v>
      </c>
    </row>
    <row r="383" spans="1:6" x14ac:dyDescent="0.3">
      <c r="A383">
        <v>0.1</v>
      </c>
      <c r="B383" t="s">
        <v>91</v>
      </c>
      <c r="C383">
        <v>-0.15</v>
      </c>
      <c r="D383">
        <v>-0.15114043593646675</v>
      </c>
      <c r="E383">
        <v>2.9479146923992231E-2</v>
      </c>
      <c r="F383">
        <v>2704.3260835802866</v>
      </c>
    </row>
    <row r="384" spans="1:6" x14ac:dyDescent="0.3">
      <c r="A384">
        <v>0.1</v>
      </c>
      <c r="B384" t="s">
        <v>91</v>
      </c>
      <c r="C384">
        <v>-0.14000000000000001</v>
      </c>
      <c r="D384">
        <v>-0.14092557607049394</v>
      </c>
      <c r="E384">
        <v>2.8673125923383124E-2</v>
      </c>
      <c r="F384">
        <v>2881.821979759176</v>
      </c>
    </row>
    <row r="385" spans="1:6" x14ac:dyDescent="0.3">
      <c r="A385">
        <v>0.1</v>
      </c>
      <c r="B385" t="s">
        <v>91</v>
      </c>
      <c r="C385">
        <v>-0.13</v>
      </c>
      <c r="D385">
        <v>-0.13073985002887836</v>
      </c>
      <c r="E385">
        <v>2.7829982797225025E-2</v>
      </c>
      <c r="F385">
        <v>3084.2408470052064</v>
      </c>
    </row>
    <row r="386" spans="1:6" x14ac:dyDescent="0.3">
      <c r="A386">
        <v>0.1</v>
      </c>
      <c r="B386" t="s">
        <v>91</v>
      </c>
      <c r="C386">
        <v>-0.12</v>
      </c>
      <c r="D386">
        <v>-0.12058102840844405</v>
      </c>
      <c r="E386">
        <v>2.6945399779518774E-2</v>
      </c>
      <c r="F386">
        <v>3317.3640784612135</v>
      </c>
    </row>
    <row r="387" spans="1:6" x14ac:dyDescent="0.3">
      <c r="A387">
        <v>0.1</v>
      </c>
      <c r="B387" t="s">
        <v>91</v>
      </c>
      <c r="C387">
        <v>-0.11</v>
      </c>
      <c r="D387">
        <v>-0.1104469157900972</v>
      </c>
      <c r="E387">
        <v>2.6014156978631287E-2</v>
      </c>
      <c r="F387">
        <v>3588.9308175977853</v>
      </c>
    </row>
    <row r="388" spans="1:6" x14ac:dyDescent="0.3">
      <c r="A388">
        <v>0.1</v>
      </c>
      <c r="B388" t="s">
        <v>91</v>
      </c>
      <c r="C388">
        <v>-0.1</v>
      </c>
      <c r="D388">
        <v>-0.10033534773107562</v>
      </c>
      <c r="E388">
        <v>2.5029857530253306E-2</v>
      </c>
      <c r="F388">
        <v>3909.5504387415513</v>
      </c>
    </row>
    <row r="389" spans="1:6" x14ac:dyDescent="0.3">
      <c r="A389">
        <v>0.1</v>
      </c>
      <c r="B389" t="s">
        <v>91</v>
      </c>
      <c r="C389">
        <v>-0.09</v>
      </c>
      <c r="D389">
        <v>-9.0244187856146837E-2</v>
      </c>
      <c r="E389">
        <v>2.3984541345262751E-2</v>
      </c>
      <c r="F389">
        <v>4294.181135531152</v>
      </c>
    </row>
    <row r="390" spans="1:6" x14ac:dyDescent="0.3">
      <c r="A390">
        <v>0.1</v>
      </c>
      <c r="B390" t="s">
        <v>91</v>
      </c>
      <c r="C390">
        <v>-0.08</v>
      </c>
      <c r="D390">
        <v>-8.0171325037589683E-2</v>
      </c>
      <c r="E390">
        <v>2.2868054474673608E-2</v>
      </c>
      <c r="F390">
        <v>4764.6373739622013</v>
      </c>
    </row>
    <row r="391" spans="1:6" x14ac:dyDescent="0.3">
      <c r="A391">
        <v>0.1</v>
      </c>
      <c r="B391" t="s">
        <v>91</v>
      </c>
      <c r="C391">
        <v>-7.0000000000000007E-2</v>
      </c>
      <c r="D391">
        <v>-7.0114670654325195E-2</v>
      </c>
      <c r="E391">
        <v>2.1667064137865729E-2</v>
      </c>
      <c r="F391">
        <v>5354.0752396022463</v>
      </c>
    </row>
    <row r="392" spans="1:6" x14ac:dyDescent="0.3">
      <c r="A392">
        <v>0.1</v>
      </c>
      <c r="B392" t="s">
        <v>91</v>
      </c>
      <c r="C392">
        <v>-0.06</v>
      </c>
      <c r="D392">
        <v>-6.007215592103167E-2</v>
      </c>
      <c r="E392">
        <v>2.036346060523482E-2</v>
      </c>
      <c r="F392">
        <v>6115.5664771789388</v>
      </c>
    </row>
    <row r="393" spans="1:6" x14ac:dyDescent="0.3">
      <c r="A393">
        <v>0.1</v>
      </c>
      <c r="B393" t="s">
        <v>91</v>
      </c>
      <c r="C393">
        <v>-0.05</v>
      </c>
      <c r="D393">
        <v>-5.0041729278491327E-2</v>
      </c>
      <c r="E393">
        <v>1.8931448054673811E-2</v>
      </c>
      <c r="F393">
        <v>7139.9489032341562</v>
      </c>
    </row>
    <row r="394" spans="1:6" x14ac:dyDescent="0.3">
      <c r="A394">
        <v>0.1</v>
      </c>
      <c r="B394" t="s">
        <v>91</v>
      </c>
      <c r="C394">
        <v>-0.04</v>
      </c>
      <c r="D394">
        <v>-4.0021353836768248E-2</v>
      </c>
      <c r="E394">
        <v>1.7332149950260434E-2</v>
      </c>
      <c r="F394">
        <v>8597.3651318998654</v>
      </c>
    </row>
    <row r="395" spans="1:6" x14ac:dyDescent="0.3">
      <c r="A395">
        <v>0.1</v>
      </c>
      <c r="B395" t="s">
        <v>91</v>
      </c>
      <c r="C395">
        <v>-0.03</v>
      </c>
      <c r="D395">
        <v>-3.000900486312652E-2</v>
      </c>
      <c r="E395">
        <v>1.5501316925789778E-2</v>
      </c>
      <c r="F395">
        <v>10850.456949114303</v>
      </c>
    </row>
    <row r="396" spans="1:6" x14ac:dyDescent="0.3">
      <c r="A396">
        <v>0.1</v>
      </c>
      <c r="B396" t="s">
        <v>91</v>
      </c>
      <c r="C396">
        <v>-0.02</v>
      </c>
      <c r="D396">
        <v>-2.0002667306849624E-2</v>
      </c>
      <c r="E396">
        <v>1.3317451536806291E-2</v>
      </c>
      <c r="F396">
        <v>14846.014552453635</v>
      </c>
    </row>
    <row r="397" spans="1:6" x14ac:dyDescent="0.3">
      <c r="A397">
        <v>0.1</v>
      </c>
      <c r="B397" t="s">
        <v>91</v>
      </c>
      <c r="C397">
        <v>-0.01</v>
      </c>
      <c r="D397">
        <v>-1.0000333353334771E-2</v>
      </c>
      <c r="E397">
        <v>1.0484628535595484E-2</v>
      </c>
      <c r="F397">
        <v>24203.100280892253</v>
      </c>
    </row>
    <row r="398" spans="1:6" x14ac:dyDescent="0.3">
      <c r="A398">
        <v>0.05</v>
      </c>
      <c r="B398" t="s">
        <v>91</v>
      </c>
      <c r="C398">
        <v>-0.99</v>
      </c>
      <c r="D398">
        <v>-2.6466524123622457</v>
      </c>
      <c r="E398">
        <v>8.116937537661098E-2</v>
      </c>
      <c r="F398">
        <v>174.05810150840415</v>
      </c>
    </row>
    <row r="399" spans="1:6" x14ac:dyDescent="0.3">
      <c r="A399">
        <v>0.05</v>
      </c>
      <c r="B399" t="s">
        <v>91</v>
      </c>
      <c r="C399">
        <v>-0.98</v>
      </c>
      <c r="D399">
        <v>-2.2975599250672945</v>
      </c>
      <c r="E399">
        <v>7.9447686296091821E-2</v>
      </c>
      <c r="F399">
        <v>199.60237936596204</v>
      </c>
    </row>
    <row r="400" spans="1:6" x14ac:dyDescent="0.3">
      <c r="A400">
        <v>0.05</v>
      </c>
      <c r="B400" t="s">
        <v>91</v>
      </c>
      <c r="C400">
        <v>-0.97</v>
      </c>
      <c r="D400">
        <v>-2.0922957200349388</v>
      </c>
      <c r="E400">
        <v>7.8240147980633834E-2</v>
      </c>
      <c r="F400">
        <v>218.53334586390534</v>
      </c>
    </row>
    <row r="401" spans="1:6" x14ac:dyDescent="0.3">
      <c r="A401">
        <v>0.05</v>
      </c>
      <c r="B401" t="s">
        <v>91</v>
      </c>
      <c r="C401">
        <v>-0.96</v>
      </c>
      <c r="D401">
        <v>-1.9459101490553128</v>
      </c>
      <c r="E401">
        <v>7.7267611935469646E-2</v>
      </c>
      <c r="F401">
        <v>234.42975957402948</v>
      </c>
    </row>
    <row r="402" spans="1:6" x14ac:dyDescent="0.3">
      <c r="A402">
        <v>0.05</v>
      </c>
      <c r="B402" t="s">
        <v>91</v>
      </c>
      <c r="C402">
        <v>-0.95</v>
      </c>
      <c r="D402">
        <v>-1.8317808230648227</v>
      </c>
      <c r="E402">
        <v>7.6433333451660909E-2</v>
      </c>
      <c r="F402">
        <v>248.55276667286461</v>
      </c>
    </row>
    <row r="403" spans="1:6" x14ac:dyDescent="0.3">
      <c r="A403">
        <v>0.05</v>
      </c>
      <c r="B403" t="s">
        <v>91</v>
      </c>
      <c r="C403">
        <v>-0.94</v>
      </c>
      <c r="D403">
        <v>-1.7380493449176362</v>
      </c>
      <c r="E403">
        <v>7.5691117982355574E-2</v>
      </c>
      <c r="F403">
        <v>261.51166024086012</v>
      </c>
    </row>
    <row r="404" spans="1:6" x14ac:dyDescent="0.3">
      <c r="A404">
        <v>0.05</v>
      </c>
      <c r="B404" t="s">
        <v>91</v>
      </c>
      <c r="C404">
        <v>-0.93</v>
      </c>
      <c r="D404">
        <v>-1.6583900199247865</v>
      </c>
      <c r="E404">
        <v>7.5014979651268313E-2</v>
      </c>
      <c r="F404">
        <v>273.65320996388789</v>
      </c>
    </row>
    <row r="405" spans="1:6" x14ac:dyDescent="0.3">
      <c r="A405">
        <v>0.05</v>
      </c>
      <c r="B405" t="s">
        <v>91</v>
      </c>
      <c r="C405">
        <v>-0.92</v>
      </c>
      <c r="D405">
        <v>-1.5890269151739731</v>
      </c>
      <c r="E405">
        <v>7.4388700146511055E-2</v>
      </c>
      <c r="F405">
        <v>285.19625338086752</v>
      </c>
    </row>
    <row r="406" spans="1:6" x14ac:dyDescent="0.3">
      <c r="A406">
        <v>0.05</v>
      </c>
      <c r="B406" t="s">
        <v>91</v>
      </c>
      <c r="C406">
        <v>-0.91</v>
      </c>
      <c r="D406">
        <v>-1.5275244253552054</v>
      </c>
      <c r="E406">
        <v>7.3801375698385838E-2</v>
      </c>
      <c r="F406">
        <v>296.28924308987689</v>
      </c>
    </row>
    <row r="407" spans="1:6" x14ac:dyDescent="0.3">
      <c r="A407">
        <v>0.05</v>
      </c>
      <c r="B407" t="s">
        <v>91</v>
      </c>
      <c r="C407">
        <v>-0.9</v>
      </c>
      <c r="D407">
        <v>-1.4722194895832204</v>
      </c>
      <c r="E407">
        <v>7.3245329842656262E-2</v>
      </c>
      <c r="F407">
        <v>307.03844663278375</v>
      </c>
    </row>
    <row r="408" spans="1:6" x14ac:dyDescent="0.3">
      <c r="A408">
        <v>0.05</v>
      </c>
      <c r="B408" t="s">
        <v>91</v>
      </c>
      <c r="C408">
        <v>-0.89</v>
      </c>
      <c r="D408">
        <v>-1.421925871130636</v>
      </c>
      <c r="E408">
        <v>7.2714882189933897E-2</v>
      </c>
      <c r="F408">
        <v>317.52325009363244</v>
      </c>
    </row>
    <row r="409" spans="1:6" x14ac:dyDescent="0.3">
      <c r="A409">
        <v>0.05</v>
      </c>
      <c r="B409" t="s">
        <v>91</v>
      </c>
      <c r="C409">
        <v>-0.88</v>
      </c>
      <c r="D409">
        <v>-1.3757676565209744</v>
      </c>
      <c r="E409">
        <v>7.2205753712581838E-2</v>
      </c>
      <c r="F409">
        <v>327.80501718162736</v>
      </c>
    </row>
    <row r="410" spans="1:6" x14ac:dyDescent="0.3">
      <c r="A410">
        <v>0.05</v>
      </c>
      <c r="B410" t="s">
        <v>91</v>
      </c>
      <c r="C410">
        <v>-0.87</v>
      </c>
      <c r="D410">
        <v>-1.333079629696525</v>
      </c>
      <c r="E410">
        <v>7.1714566704817392E-2</v>
      </c>
      <c r="F410">
        <v>337.93261763321385</v>
      </c>
    </row>
    <row r="411" spans="1:6" x14ac:dyDescent="0.3">
      <c r="A411">
        <v>0.05</v>
      </c>
      <c r="B411" t="s">
        <v>91</v>
      </c>
      <c r="C411">
        <v>-0.86</v>
      </c>
      <c r="D411">
        <v>-1.2933446720489712</v>
      </c>
      <c r="E411">
        <v>7.1238637339812491E-2</v>
      </c>
      <c r="F411">
        <v>347.94594584032205</v>
      </c>
    </row>
    <row r="412" spans="1:6" x14ac:dyDescent="0.3">
      <c r="A412">
        <v>0.05</v>
      </c>
      <c r="B412" t="s">
        <v>91</v>
      </c>
      <c r="C412">
        <v>-0.85</v>
      </c>
      <c r="D412">
        <v>-1.2561528119880574</v>
      </c>
      <c r="E412">
        <v>7.0775806384184958E-2</v>
      </c>
      <c r="F412">
        <v>357.87829576424781</v>
      </c>
    </row>
    <row r="413" spans="1:6" x14ac:dyDescent="0.3">
      <c r="A413">
        <v>0.05</v>
      </c>
      <c r="B413" t="s">
        <v>91</v>
      </c>
      <c r="C413">
        <v>-0.84</v>
      </c>
      <c r="D413">
        <v>-1.2211735176846021</v>
      </c>
      <c r="E413">
        <v>7.0324257940611895E-2</v>
      </c>
      <c r="F413">
        <v>367.75804568803812</v>
      </c>
    </row>
    <row r="414" spans="1:6" x14ac:dyDescent="0.3">
      <c r="A414">
        <v>0.05</v>
      </c>
      <c r="B414" t="s">
        <v>91</v>
      </c>
      <c r="C414">
        <v>-0.83</v>
      </c>
      <c r="D414">
        <v>-1.1881364043926024</v>
      </c>
      <c r="E414">
        <v>6.9882503574803953E-2</v>
      </c>
      <c r="F414">
        <v>377.60979676978292</v>
      </c>
    </row>
    <row r="415" spans="1:6" x14ac:dyDescent="0.3">
      <c r="A415">
        <v>0.05</v>
      </c>
      <c r="B415" t="s">
        <v>91</v>
      </c>
      <c r="C415">
        <v>-0.82</v>
      </c>
      <c r="D415">
        <v>-1.1568174645903151</v>
      </c>
      <c r="E415">
        <v>6.9449229855325811E-2</v>
      </c>
      <c r="F415">
        <v>387.45528884869992</v>
      </c>
    </row>
    <row r="416" spans="1:6" x14ac:dyDescent="0.3">
      <c r="A416">
        <v>0.05</v>
      </c>
      <c r="B416" t="s">
        <v>91</v>
      </c>
      <c r="C416">
        <v>-0.81</v>
      </c>
      <c r="D416">
        <v>-1.1270290260496929</v>
      </c>
      <c r="E416">
        <v>6.9023344940992923E-2</v>
      </c>
      <c r="F416">
        <v>397.31398845244809</v>
      </c>
    </row>
    <row r="417" spans="1:6" x14ac:dyDescent="0.3">
      <c r="A417">
        <v>0.05</v>
      </c>
      <c r="B417" t="s">
        <v>91</v>
      </c>
      <c r="C417">
        <v>-0.8</v>
      </c>
      <c r="D417">
        <v>-1.0986122886681098</v>
      </c>
      <c r="E417">
        <v>6.8603903404701586E-2</v>
      </c>
      <c r="F417">
        <v>407.20360334314643</v>
      </c>
    </row>
    <row r="418" spans="1:6" x14ac:dyDescent="0.3">
      <c r="A418">
        <v>0.05</v>
      </c>
      <c r="B418" t="s">
        <v>91</v>
      </c>
      <c r="C418">
        <v>-0.79</v>
      </c>
      <c r="D418">
        <v>-1.0714316840586662</v>
      </c>
      <c r="E418">
        <v>6.8190066316670864E-2</v>
      </c>
      <c r="F418">
        <v>417.14047375027974</v>
      </c>
    </row>
    <row r="419" spans="1:6" x14ac:dyDescent="0.3">
      <c r="A419">
        <v>0.05</v>
      </c>
      <c r="B419" t="s">
        <v>91</v>
      </c>
      <c r="C419">
        <v>-0.78</v>
      </c>
      <c r="D419">
        <v>-1.0453705484668847</v>
      </c>
      <c r="E419">
        <v>6.7781096802483856E-2</v>
      </c>
      <c r="F419">
        <v>427.13986364109468</v>
      </c>
    </row>
    <row r="420" spans="1:6" x14ac:dyDescent="0.3">
      <c r="A420">
        <v>0.05</v>
      </c>
      <c r="B420" t="s">
        <v>91</v>
      </c>
      <c r="C420">
        <v>-0.77</v>
      </c>
      <c r="D420">
        <v>-1.0203277583223398</v>
      </c>
      <c r="E420">
        <v>6.7376348673313879E-2</v>
      </c>
      <c r="F420">
        <v>437.21619926596037</v>
      </c>
    </row>
    <row r="421" spans="1:6" x14ac:dyDescent="0.3">
      <c r="A421">
        <v>0.05</v>
      </c>
      <c r="B421" t="s">
        <v>91</v>
      </c>
      <c r="C421">
        <v>-0.76</v>
      </c>
      <c r="D421">
        <v>-0.99621508234510314</v>
      </c>
      <c r="E421">
        <v>6.697519227814118E-2</v>
      </c>
      <c r="F421">
        <v>447.38331592890398</v>
      </c>
    </row>
    <row r="422" spans="1:6" x14ac:dyDescent="0.3">
      <c r="A422">
        <v>0.05</v>
      </c>
      <c r="B422" t="s">
        <v>91</v>
      </c>
      <c r="C422">
        <v>-0.75</v>
      </c>
      <c r="D422">
        <v>-0.97295507452765673</v>
      </c>
      <c r="E422">
        <v>6.657714057300497E-2</v>
      </c>
      <c r="F422">
        <v>457.65451684649253</v>
      </c>
    </row>
    <row r="423" spans="1:6" x14ac:dyDescent="0.3">
      <c r="A423">
        <v>0.05</v>
      </c>
      <c r="B423" t="s">
        <v>91</v>
      </c>
      <c r="C423">
        <v>-0.74</v>
      </c>
      <c r="D423">
        <v>-0.95047938059652348</v>
      </c>
      <c r="E423">
        <v>6.6181666797238456E-2</v>
      </c>
      <c r="F423">
        <v>468.04285121435868</v>
      </c>
    </row>
    <row r="424" spans="1:6" x14ac:dyDescent="0.3">
      <c r="A424">
        <v>0.05</v>
      </c>
      <c r="B424" t="s">
        <v>91</v>
      </c>
      <c r="C424">
        <v>-0.73</v>
      </c>
      <c r="D424">
        <v>-0.92872736424672497</v>
      </c>
      <c r="E424">
        <v>6.5788342615783216E-2</v>
      </c>
      <c r="F424">
        <v>478.56111833909586</v>
      </c>
    </row>
    <row r="425" spans="1:6" x14ac:dyDescent="0.3">
      <c r="A425">
        <v>0.05</v>
      </c>
      <c r="B425" t="s">
        <v>91</v>
      </c>
      <c r="C425">
        <v>-0.72</v>
      </c>
      <c r="D425">
        <v>-0.90764498331912458</v>
      </c>
      <c r="E425">
        <v>6.539676468042796E-2</v>
      </c>
      <c r="F425">
        <v>489.22202782497135</v>
      </c>
    </row>
    <row r="426" spans="1:6" x14ac:dyDescent="0.3">
      <c r="A426">
        <v>0.05</v>
      </c>
      <c r="B426" t="s">
        <v>91</v>
      </c>
      <c r="C426">
        <v>-0.71</v>
      </c>
      <c r="D426">
        <v>-0.88718386325809284</v>
      </c>
      <c r="E426">
        <v>6.500652812056712E-2</v>
      </c>
      <c r="F426">
        <v>500.03831672583152</v>
      </c>
    </row>
    <row r="427" spans="1:6" x14ac:dyDescent="0.3">
      <c r="A427">
        <v>0.05</v>
      </c>
      <c r="B427" t="s">
        <v>91</v>
      </c>
      <c r="C427">
        <v>-0.7</v>
      </c>
      <c r="D427">
        <v>-0.86730052769405308</v>
      </c>
      <c r="E427">
        <v>6.4617297153278602E-2</v>
      </c>
      <c r="F427">
        <v>511.02276753257911</v>
      </c>
    </row>
    <row r="428" spans="1:6" x14ac:dyDescent="0.3">
      <c r="A428">
        <v>0.05</v>
      </c>
      <c r="B428" t="s">
        <v>91</v>
      </c>
      <c r="C428">
        <v>-0.69</v>
      </c>
      <c r="D428">
        <v>-0.84795575521896349</v>
      </c>
      <c r="E428">
        <v>6.4228726026646199E-2</v>
      </c>
      <c r="F428">
        <v>522.18835886064323</v>
      </c>
    </row>
    <row r="429" spans="1:6" x14ac:dyDescent="0.3">
      <c r="A429">
        <v>0.05</v>
      </c>
      <c r="B429" t="s">
        <v>91</v>
      </c>
      <c r="C429">
        <v>-0.68</v>
      </c>
      <c r="D429">
        <v>-0.82911403830176633</v>
      </c>
      <c r="E429">
        <v>6.3840502889637746E-2</v>
      </c>
      <c r="F429">
        <v>533.54829767303204</v>
      </c>
    </row>
    <row r="430" spans="1:6" x14ac:dyDescent="0.3">
      <c r="A430">
        <v>0.05</v>
      </c>
      <c r="B430" t="s">
        <v>91</v>
      </c>
      <c r="C430">
        <v>-0.67</v>
      </c>
      <c r="D430">
        <v>-0.81074312547513749</v>
      </c>
      <c r="E430">
        <v>6.3452315906371778E-2</v>
      </c>
      <c r="F430">
        <v>545.11612453236989</v>
      </c>
    </row>
    <row r="431" spans="1:6" x14ac:dyDescent="0.3">
      <c r="A431">
        <v>0.05</v>
      </c>
      <c r="B431" t="s">
        <v>91</v>
      </c>
      <c r="C431">
        <v>-0.66</v>
      </c>
      <c r="D431">
        <v>-0.79281363187019105</v>
      </c>
      <c r="E431">
        <v>6.3063883621233455E-2</v>
      </c>
      <c r="F431">
        <v>556.90575203378546</v>
      </c>
    </row>
    <row r="432" spans="1:6" x14ac:dyDescent="0.3">
      <c r="A432">
        <v>0.05</v>
      </c>
      <c r="B432" t="s">
        <v>91</v>
      </c>
      <c r="C432">
        <v>-0.65</v>
      </c>
      <c r="D432">
        <v>-0.7752987062055835</v>
      </c>
      <c r="E432">
        <v>6.2674929106523905E-2</v>
      </c>
      <c r="F432">
        <v>568.93156173763657</v>
      </c>
    </row>
    <row r="433" spans="1:6" x14ac:dyDescent="0.3">
      <c r="A433">
        <v>0.05</v>
      </c>
      <c r="B433" t="s">
        <v>91</v>
      </c>
      <c r="C433">
        <v>-0.64</v>
      </c>
      <c r="D433">
        <v>-0.7581737446840443</v>
      </c>
      <c r="E433">
        <v>6.2285191109330548E-2</v>
      </c>
      <c r="F433">
        <v>581.20846295403351</v>
      </c>
    </row>
    <row r="434" spans="1:6" x14ac:dyDescent="0.3">
      <c r="A434">
        <v>0.05</v>
      </c>
      <c r="B434" t="s">
        <v>91</v>
      </c>
      <c r="C434">
        <v>-0.63</v>
      </c>
      <c r="D434">
        <v>-0.74141614408126888</v>
      </c>
      <c r="E434">
        <v>6.1894398466923281E-2</v>
      </c>
      <c r="F434">
        <v>593.7519964138794</v>
      </c>
    </row>
    <row r="435" spans="1:6" x14ac:dyDescent="0.3">
      <c r="A435">
        <v>0.05</v>
      </c>
      <c r="B435" t="s">
        <v>91</v>
      </c>
      <c r="C435">
        <v>-0.62</v>
      </c>
      <c r="D435">
        <v>-0.72500508775299921</v>
      </c>
      <c r="E435">
        <v>6.150229770647022E-2</v>
      </c>
      <c r="F435">
        <v>606.57837833479721</v>
      </c>
    </row>
    <row r="436" spans="1:6" x14ac:dyDescent="0.3">
      <c r="A436">
        <v>0.05</v>
      </c>
      <c r="B436" t="s">
        <v>91</v>
      </c>
      <c r="C436">
        <v>-0.61</v>
      </c>
      <c r="D436">
        <v>-0.7089213594274083</v>
      </c>
      <c r="E436">
        <v>6.1108659983074756E-2</v>
      </c>
      <c r="F436">
        <v>619.70456869923657</v>
      </c>
    </row>
    <row r="437" spans="1:6" x14ac:dyDescent="0.3">
      <c r="A437">
        <v>0.05</v>
      </c>
      <c r="B437" t="s">
        <v>91</v>
      </c>
      <c r="C437">
        <v>-0.6</v>
      </c>
      <c r="D437">
        <v>-0.69314718055994529</v>
      </c>
      <c r="E437">
        <v>6.0713226663064071E-2</v>
      </c>
      <c r="F437">
        <v>633.14842666133302</v>
      </c>
    </row>
    <row r="438" spans="1:6" x14ac:dyDescent="0.3">
      <c r="A438">
        <v>0.05</v>
      </c>
      <c r="B438" t="s">
        <v>91</v>
      </c>
      <c r="C438">
        <v>-0.59</v>
      </c>
      <c r="D438">
        <v>-0.67766606775796179</v>
      </c>
      <c r="E438">
        <v>6.0315752652628951E-2</v>
      </c>
      <c r="F438">
        <v>646.92874686500977</v>
      </c>
    </row>
    <row r="439" spans="1:6" x14ac:dyDescent="0.3">
      <c r="A439">
        <v>0.05</v>
      </c>
      <c r="B439" t="s">
        <v>91</v>
      </c>
      <c r="C439">
        <v>-0.57999999999999996</v>
      </c>
      <c r="D439">
        <v>-0.66246270737179924</v>
      </c>
      <c r="E439">
        <v>5.9916016641786224E-2</v>
      </c>
      <c r="F439">
        <v>661.06533921904031</v>
      </c>
    </row>
    <row r="440" spans="1:6" x14ac:dyDescent="0.3">
      <c r="A440">
        <v>0.05</v>
      </c>
      <c r="B440" t="s">
        <v>91</v>
      </c>
      <c r="C440">
        <v>-0.56999999999999995</v>
      </c>
      <c r="D440">
        <v>-0.64752284482737277</v>
      </c>
      <c r="E440">
        <v>5.951377280389053E-2</v>
      </c>
      <c r="F440">
        <v>675.57920264015979</v>
      </c>
    </row>
    <row r="441" spans="1:6" x14ac:dyDescent="0.3">
      <c r="A441">
        <v>0.05</v>
      </c>
      <c r="B441" t="s">
        <v>91</v>
      </c>
      <c r="C441">
        <v>-0.56000000000000005</v>
      </c>
      <c r="D441">
        <v>-0.63283318666563804</v>
      </c>
      <c r="E441">
        <v>5.9108771356265279E-2</v>
      </c>
      <c r="F441">
        <v>690.49261351368125</v>
      </c>
    </row>
    <row r="442" spans="1:6" x14ac:dyDescent="0.3">
      <c r="A442">
        <v>0.05</v>
      </c>
      <c r="B442" t="s">
        <v>91</v>
      </c>
      <c r="C442">
        <v>-0.55000000000000004</v>
      </c>
      <c r="D442">
        <v>-0.61838131357446346</v>
      </c>
      <c r="E442">
        <v>5.8700789895434001E-2</v>
      </c>
      <c r="F442">
        <v>705.82920054062788</v>
      </c>
    </row>
    <row r="443" spans="1:6" x14ac:dyDescent="0.3">
      <c r="A443">
        <v>0.05</v>
      </c>
      <c r="B443" t="s">
        <v>91</v>
      </c>
      <c r="C443">
        <v>-0.54</v>
      </c>
      <c r="D443">
        <v>-0.60415560296226711</v>
      </c>
      <c r="E443">
        <v>5.8289566819066871E-2</v>
      </c>
      <c r="F443">
        <v>721.61418741526109</v>
      </c>
    </row>
    <row r="444" spans="1:6" x14ac:dyDescent="0.3">
      <c r="A444">
        <v>0.05</v>
      </c>
      <c r="B444" t="s">
        <v>91</v>
      </c>
      <c r="C444">
        <v>-0.53</v>
      </c>
      <c r="D444">
        <v>-0.59014515984118854</v>
      </c>
      <c r="E444">
        <v>5.787488424638812E-2</v>
      </c>
      <c r="F444">
        <v>737.87440852240638</v>
      </c>
    </row>
    <row r="445" spans="1:6" x14ac:dyDescent="0.3">
      <c r="A445">
        <v>0.05</v>
      </c>
      <c r="B445" t="s">
        <v>91</v>
      </c>
      <c r="C445">
        <v>-0.52</v>
      </c>
      <c r="D445">
        <v>-0.57633975496919276</v>
      </c>
      <c r="E445">
        <v>5.7456485860150501E-2</v>
      </c>
      <c r="F445">
        <v>754.6386119950555</v>
      </c>
    </row>
    <row r="446" spans="1:6" x14ac:dyDescent="0.3">
      <c r="A446">
        <v>0.05</v>
      </c>
      <c r="B446" t="s">
        <v>91</v>
      </c>
      <c r="C446">
        <v>-0.51</v>
      </c>
      <c r="D446">
        <v>-0.56272976935214891</v>
      </c>
      <c r="E446">
        <v>5.7034103314072736E-2</v>
      </c>
      <c r="F446">
        <v>771.93760571018356</v>
      </c>
    </row>
    <row r="447" spans="1:6" x14ac:dyDescent="0.3">
      <c r="A447">
        <v>0.05</v>
      </c>
      <c r="B447" t="s">
        <v>91</v>
      </c>
      <c r="C447">
        <v>-0.5</v>
      </c>
      <c r="D447">
        <v>-0.54930614433405489</v>
      </c>
      <c r="E447">
        <v>5.6607493660888367E-2</v>
      </c>
      <c r="F447">
        <v>789.80439197297983</v>
      </c>
    </row>
    <row r="448" spans="1:6" x14ac:dyDescent="0.3">
      <c r="A448">
        <v>0.05</v>
      </c>
      <c r="B448" t="s">
        <v>91</v>
      </c>
      <c r="C448">
        <v>-0.49</v>
      </c>
      <c r="D448">
        <v>-0.53606033661056662</v>
      </c>
      <c r="E448">
        <v>5.617639607378215E-2</v>
      </c>
      <c r="F448">
        <v>808.27447457539108</v>
      </c>
    </row>
    <row r="449" spans="1:6" x14ac:dyDescent="0.3">
      <c r="A449">
        <v>0.05</v>
      </c>
      <c r="B449" t="s">
        <v>91</v>
      </c>
      <c r="C449">
        <v>-0.48</v>
      </c>
      <c r="D449">
        <v>-0.5229842775913438</v>
      </c>
      <c r="E449">
        <v>5.5740515687553706E-2</v>
      </c>
      <c r="F449">
        <v>827.3861538274241</v>
      </c>
    </row>
    <row r="450" spans="1:6" x14ac:dyDescent="0.3">
      <c r="A450">
        <v>0.05</v>
      </c>
      <c r="B450" t="s">
        <v>91</v>
      </c>
      <c r="C450">
        <v>-0.47</v>
      </c>
      <c r="D450">
        <v>-0.51007033661330725</v>
      </c>
      <c r="E450">
        <v>5.5299610309114372E-2</v>
      </c>
      <c r="F450">
        <v>847.18063264542172</v>
      </c>
    </row>
    <row r="451" spans="1:6" x14ac:dyDescent="0.3">
      <c r="A451">
        <v>0.05</v>
      </c>
      <c r="B451" t="s">
        <v>91</v>
      </c>
      <c r="C451">
        <v>-0.46</v>
      </c>
      <c r="D451">
        <v>-0.49731128757203097</v>
      </c>
      <c r="E451">
        <v>5.4853356045276483E-2</v>
      </c>
      <c r="F451">
        <v>867.70262402258209</v>
      </c>
    </row>
    <row r="452" spans="1:6" x14ac:dyDescent="0.3">
      <c r="A452">
        <v>0.05</v>
      </c>
      <c r="B452" t="s">
        <v>91</v>
      </c>
      <c r="C452">
        <v>-0.45</v>
      </c>
      <c r="D452">
        <v>-0.48470027859405168</v>
      </c>
      <c r="E452">
        <v>5.4401471490824478E-2</v>
      </c>
      <c r="F452">
        <v>889.00044906107894</v>
      </c>
    </row>
    <row r="453" spans="1:6" x14ac:dyDescent="0.3">
      <c r="A453">
        <v>0.05</v>
      </c>
      <c r="B453" t="s">
        <v>91</v>
      </c>
      <c r="C453">
        <v>-0.44</v>
      </c>
      <c r="D453">
        <v>-0.47223080442042559</v>
      </c>
      <c r="E453">
        <v>5.3943647665867109E-2</v>
      </c>
      <c r="F453">
        <v>911.12659981129525</v>
      </c>
    </row>
    <row r="454" spans="1:6" x14ac:dyDescent="0.3">
      <c r="A454">
        <v>0.05</v>
      </c>
      <c r="B454" t="s">
        <v>91</v>
      </c>
      <c r="C454">
        <v>-0.43</v>
      </c>
      <c r="D454">
        <v>-0.45989668121267852</v>
      </c>
      <c r="E454">
        <v>5.3479555496504828E-2</v>
      </c>
      <c r="F454">
        <v>934.13819431666457</v>
      </c>
    </row>
    <row r="455" spans="1:6" x14ac:dyDescent="0.3">
      <c r="A455">
        <v>0.05</v>
      </c>
      <c r="B455" t="s">
        <v>91</v>
      </c>
      <c r="C455">
        <v>-0.42</v>
      </c>
      <c r="D455">
        <v>-0.4476920235274206</v>
      </c>
      <c r="E455">
        <v>5.3008840317307085E-2</v>
      </c>
      <c r="F455">
        <v>958.09752676720609</v>
      </c>
    </row>
    <row r="456" spans="1:6" x14ac:dyDescent="0.3">
      <c r="A456">
        <v>0.05</v>
      </c>
      <c r="B456" t="s">
        <v>91</v>
      </c>
      <c r="C456">
        <v>-0.41</v>
      </c>
      <c r="D456">
        <v>-0.43561122323622431</v>
      </c>
      <c r="E456">
        <v>5.2531177826375744E-2</v>
      </c>
      <c r="F456">
        <v>983.07252107815589</v>
      </c>
    </row>
    <row r="457" spans="1:6" x14ac:dyDescent="0.3">
      <c r="A457">
        <v>0.05</v>
      </c>
      <c r="B457" t="s">
        <v>91</v>
      </c>
      <c r="C457">
        <v>-0.4</v>
      </c>
      <c r="D457">
        <v>-0.42364893019360178</v>
      </c>
      <c r="E457">
        <v>5.204618102555765E-2</v>
      </c>
      <c r="F457">
        <v>1009.1376731618316</v>
      </c>
    </row>
    <row r="458" spans="1:6" x14ac:dyDescent="0.3">
      <c r="A458">
        <v>0.05</v>
      </c>
      <c r="B458" t="s">
        <v>91</v>
      </c>
      <c r="C458">
        <v>-0.39</v>
      </c>
      <c r="D458">
        <v>-0.41180003447869035</v>
      </c>
      <c r="E458">
        <v>5.1553468466656462E-2</v>
      </c>
      <c r="F458">
        <v>1036.3746629023506</v>
      </c>
    </row>
    <row r="459" spans="1:6" x14ac:dyDescent="0.3">
      <c r="A459">
        <v>0.05</v>
      </c>
      <c r="B459" t="s">
        <v>91</v>
      </c>
      <c r="C459">
        <v>-0.38</v>
      </c>
      <c r="D459">
        <v>-0.40005965005605654</v>
      </c>
      <c r="E459">
        <v>5.1052621230501354E-2</v>
      </c>
      <c r="F459">
        <v>1064.8733948555764</v>
      </c>
    </row>
    <row r="460" spans="1:6" x14ac:dyDescent="0.3">
      <c r="A460">
        <v>0.05</v>
      </c>
      <c r="B460" t="s">
        <v>91</v>
      </c>
      <c r="C460">
        <v>-0.37</v>
      </c>
      <c r="D460">
        <v>-0.38842309971829614</v>
      </c>
      <c r="E460">
        <v>5.0543201348577496E-2</v>
      </c>
      <c r="F460">
        <v>1094.7330072916268</v>
      </c>
    </row>
    <row r="461" spans="1:6" x14ac:dyDescent="0.3">
      <c r="A461">
        <v>0.05</v>
      </c>
      <c r="B461" t="s">
        <v>91</v>
      </c>
      <c r="C461">
        <v>-0.36</v>
      </c>
      <c r="D461">
        <v>-0.37688590118819004</v>
      </c>
      <c r="E461">
        <v>5.0024757527870133E-2</v>
      </c>
      <c r="F461">
        <v>1126.0630789577765</v>
      </c>
    </row>
    <row r="462" spans="1:6" x14ac:dyDescent="0.3">
      <c r="A462">
        <v>0.05</v>
      </c>
      <c r="B462" t="s">
        <v>91</v>
      </c>
      <c r="C462">
        <v>-0.35</v>
      </c>
      <c r="D462">
        <v>-0.36544375427139619</v>
      </c>
      <c r="E462">
        <v>4.9496795297009573E-2</v>
      </c>
      <c r="F462">
        <v>1158.9851640327322</v>
      </c>
    </row>
    <row r="463" spans="1:6" x14ac:dyDescent="0.3">
      <c r="A463">
        <v>0.05</v>
      </c>
      <c r="B463" t="s">
        <v>91</v>
      </c>
      <c r="C463">
        <v>-0.34</v>
      </c>
      <c r="D463">
        <v>-0.35409252896224297</v>
      </c>
      <c r="E463">
        <v>4.895880683250408E-2</v>
      </c>
      <c r="F463">
        <v>1193.6343631333928</v>
      </c>
    </row>
    <row r="464" spans="1:6" x14ac:dyDescent="0.3">
      <c r="A464">
        <v>0.05</v>
      </c>
      <c r="B464" t="s">
        <v>91</v>
      </c>
      <c r="C464">
        <v>-0.33</v>
      </c>
      <c r="D464">
        <v>-0.34282825441539394</v>
      </c>
      <c r="E464">
        <v>4.8410241543833027E-2</v>
      </c>
      <c r="F464">
        <v>1230.1613973615965</v>
      </c>
    </row>
    <row r="465" spans="1:6" x14ac:dyDescent="0.3">
      <c r="A465">
        <v>0.05</v>
      </c>
      <c r="B465" t="s">
        <v>91</v>
      </c>
      <c r="C465">
        <v>-0.32</v>
      </c>
      <c r="D465">
        <v>-0.3316471087051322</v>
      </c>
      <c r="E465">
        <v>4.7850489472891215E-2</v>
      </c>
      <c r="F465">
        <v>1268.735012717714</v>
      </c>
    </row>
    <row r="466" spans="1:6" x14ac:dyDescent="0.3">
      <c r="A466">
        <v>0.05</v>
      </c>
      <c r="B466" t="s">
        <v>91</v>
      </c>
      <c r="C466">
        <v>-0.31</v>
      </c>
      <c r="D466">
        <v>-0.32054540930194608</v>
      </c>
      <c r="E466">
        <v>4.7278934073051324E-2</v>
      </c>
      <c r="F466">
        <v>1309.5445143498443</v>
      </c>
    </row>
    <row r="467" spans="1:6" x14ac:dyDescent="0.3">
      <c r="A467">
        <v>0.05</v>
      </c>
      <c r="B467" t="s">
        <v>91</v>
      </c>
      <c r="C467">
        <v>-0.3</v>
      </c>
      <c r="D467">
        <v>-0.30951960420311175</v>
      </c>
      <c r="E467">
        <v>4.6694889333822744E-2</v>
      </c>
      <c r="F467">
        <v>1352.8033158037244</v>
      </c>
    </row>
    <row r="468" spans="1:6" x14ac:dyDescent="0.3">
      <c r="A468">
        <v>0.05</v>
      </c>
      <c r="B468" t="s">
        <v>91</v>
      </c>
      <c r="C468">
        <v>-0.28999999999999998</v>
      </c>
      <c r="D468">
        <v>-0.29856626366017835</v>
      </c>
      <c r="E468">
        <v>4.6097629849533361E-2</v>
      </c>
      <c r="F468">
        <v>1398.7527448620626</v>
      </c>
    </row>
    <row r="469" spans="1:6" x14ac:dyDescent="0.3">
      <c r="A469">
        <v>0.05</v>
      </c>
      <c r="B469" t="s">
        <v>91</v>
      </c>
      <c r="C469">
        <v>-0.28000000000000003</v>
      </c>
      <c r="D469">
        <v>-0.2876820724517809</v>
      </c>
      <c r="E469">
        <v>4.5486352636044711E-2</v>
      </c>
      <c r="F469">
        <v>1447.6669773887018</v>
      </c>
    </row>
    <row r="470" spans="1:6" x14ac:dyDescent="0.3">
      <c r="A470">
        <v>0.05</v>
      </c>
      <c r="B470" t="s">
        <v>91</v>
      </c>
      <c r="C470">
        <v>-0.27</v>
      </c>
      <c r="D470">
        <v>-0.27686382265510007</v>
      </c>
      <c r="E470">
        <v>4.4860196288703295E-2</v>
      </c>
      <c r="F470">
        <v>1499.8587040192551</v>
      </c>
    </row>
    <row r="471" spans="1:6" x14ac:dyDescent="0.3">
      <c r="A471">
        <v>0.05</v>
      </c>
      <c r="B471" t="s">
        <v>91</v>
      </c>
      <c r="C471">
        <v>-0.26</v>
      </c>
      <c r="D471">
        <v>-0.26610840687365411</v>
      </c>
      <c r="E471">
        <v>4.4218248503560043E-2</v>
      </c>
      <c r="F471">
        <v>1555.686087986453</v>
      </c>
    </row>
    <row r="472" spans="1:6" x14ac:dyDescent="0.3">
      <c r="A472">
        <v>0.05</v>
      </c>
      <c r="B472" t="s">
        <v>91</v>
      </c>
      <c r="C472">
        <v>-0.25</v>
      </c>
      <c r="D472">
        <v>-0.25541281188299536</v>
      </c>
      <c r="E472">
        <v>4.3559465929013497E-2</v>
      </c>
      <c r="F472">
        <v>1615.5618819395265</v>
      </c>
    </row>
    <row r="473" spans="1:6" x14ac:dyDescent="0.3">
      <c r="A473">
        <v>0.05</v>
      </c>
      <c r="B473" t="s">
        <v>91</v>
      </c>
      <c r="C473">
        <v>-0.24</v>
      </c>
      <c r="D473">
        <v>-0.24477411265935289</v>
      </c>
      <c r="E473">
        <v>4.2882749874301351E-2</v>
      </c>
      <c r="F473">
        <v>1679.9636633104292</v>
      </c>
    </row>
    <row r="474" spans="1:6" x14ac:dyDescent="0.3">
      <c r="A474">
        <v>0.05</v>
      </c>
      <c r="B474" t="s">
        <v>91</v>
      </c>
      <c r="C474">
        <v>-0.23</v>
      </c>
      <c r="D474">
        <v>-0.23418946675936678</v>
      </c>
      <c r="E474">
        <v>4.2186868037259954E-2</v>
      </c>
      <c r="F474">
        <v>1749.4476820812577</v>
      </c>
    </row>
    <row r="475" spans="1:6" x14ac:dyDescent="0.3">
      <c r="A475">
        <v>0.05</v>
      </c>
      <c r="B475" t="s">
        <v>91</v>
      </c>
      <c r="C475">
        <v>-0.22</v>
      </c>
      <c r="D475">
        <v>-0.22365610902183239</v>
      </c>
      <c r="E475">
        <v>4.1470476329610588E-2</v>
      </c>
      <c r="F475">
        <v>1824.6655339600229</v>
      </c>
    </row>
    <row r="476" spans="1:6" x14ac:dyDescent="0.3">
      <c r="A476">
        <v>0.05</v>
      </c>
      <c r="B476" t="s">
        <v>91</v>
      </c>
      <c r="C476">
        <v>-0.21</v>
      </c>
      <c r="D476">
        <v>-0.21317134656485975</v>
      </c>
      <c r="E476">
        <v>4.0732065735343694E-2</v>
      </c>
      <c r="F476">
        <v>1906.3859508145126</v>
      </c>
    </row>
    <row r="477" spans="1:6" x14ac:dyDescent="0.3">
      <c r="A477">
        <v>0.05</v>
      </c>
      <c r="B477" t="s">
        <v>91</v>
      </c>
      <c r="C477">
        <v>-0.2</v>
      </c>
      <c r="D477">
        <v>-0.20273255405408214</v>
      </c>
      <c r="E477">
        <v>3.9969954131423152E-2</v>
      </c>
      <c r="F477">
        <v>1995.5223741291695</v>
      </c>
    </row>
    <row r="478" spans="1:6" x14ac:dyDescent="0.3">
      <c r="A478">
        <v>0.05</v>
      </c>
      <c r="B478" t="s">
        <v>91</v>
      </c>
      <c r="C478">
        <v>-0.19</v>
      </c>
      <c r="D478">
        <v>-0.1923371692195453</v>
      </c>
      <c r="E478">
        <v>3.9182289454410213E-2</v>
      </c>
      <c r="F478">
        <v>2093.1685691365774</v>
      </c>
    </row>
    <row r="479" spans="1:6" x14ac:dyDescent="0.3">
      <c r="A479">
        <v>0.05</v>
      </c>
      <c r="B479" t="s">
        <v>91</v>
      </c>
      <c r="C479">
        <v>-0.18</v>
      </c>
      <c r="D479">
        <v>-0.18198268860070579</v>
      </c>
      <c r="E479">
        <v>3.83669492966714E-2</v>
      </c>
      <c r="F479">
        <v>2200.6465240861144</v>
      </c>
    </row>
    <row r="480" spans="1:6" x14ac:dyDescent="0.3">
      <c r="A480">
        <v>0.05</v>
      </c>
      <c r="B480" t="s">
        <v>91</v>
      </c>
      <c r="C480">
        <v>-0.17</v>
      </c>
      <c r="D480">
        <v>-0.17166666350057908</v>
      </c>
      <c r="E480">
        <v>3.7521538449672161E-2</v>
      </c>
      <c r="F480">
        <v>2319.5691016982641</v>
      </c>
    </row>
    <row r="481" spans="1:6" x14ac:dyDescent="0.3">
      <c r="A481">
        <v>0.05</v>
      </c>
      <c r="B481" t="s">
        <v>91</v>
      </c>
      <c r="C481">
        <v>-0.16</v>
      </c>
      <c r="D481">
        <v>-0.16138669613152551</v>
      </c>
      <c r="E481">
        <v>3.6643315604710618E-2</v>
      </c>
      <c r="F481">
        <v>2451.9255372858879</v>
      </c>
    </row>
    <row r="482" spans="1:6" x14ac:dyDescent="0.3">
      <c r="A482">
        <v>0.05</v>
      </c>
      <c r="B482" t="s">
        <v>91</v>
      </c>
      <c r="C482">
        <v>-0.15</v>
      </c>
      <c r="D482">
        <v>-0.15114043593646675</v>
      </c>
      <c r="E482">
        <v>3.572915466302324E-2</v>
      </c>
      <c r="F482">
        <v>2600.1983223213233</v>
      </c>
    </row>
    <row r="483" spans="1:6" x14ac:dyDescent="0.3">
      <c r="A483">
        <v>0.05</v>
      </c>
      <c r="B483" t="s">
        <v>91</v>
      </c>
      <c r="C483">
        <v>-0.14000000000000001</v>
      </c>
      <c r="D483">
        <v>-0.14092557607049394</v>
      </c>
      <c r="E483">
        <v>3.4775367463315013E-2</v>
      </c>
      <c r="F483">
        <v>2767.5289646989399</v>
      </c>
    </row>
    <row r="484" spans="1:6" x14ac:dyDescent="0.3">
      <c r="A484">
        <v>0.05</v>
      </c>
      <c r="B484" t="s">
        <v>91</v>
      </c>
      <c r="C484">
        <v>-0.13</v>
      </c>
      <c r="D484">
        <v>-0.13073985002887836</v>
      </c>
      <c r="E484">
        <v>3.3777665834300009E-2</v>
      </c>
      <c r="F484">
        <v>2957.9522313454045</v>
      </c>
    </row>
    <row r="485" spans="1:6" x14ac:dyDescent="0.3">
      <c r="A485">
        <v>0.05</v>
      </c>
      <c r="B485" t="s">
        <v>91</v>
      </c>
      <c r="C485">
        <v>-0.12</v>
      </c>
      <c r="D485">
        <v>-0.12058102840844405</v>
      </c>
      <c r="E485">
        <v>3.2730942884861232E-2</v>
      </c>
      <c r="F485">
        <v>3176.7420525341454</v>
      </c>
    </row>
    <row r="486" spans="1:6" x14ac:dyDescent="0.3">
      <c r="A486">
        <v>0.05</v>
      </c>
      <c r="B486" t="s">
        <v>91</v>
      </c>
      <c r="C486">
        <v>-0.11</v>
      </c>
      <c r="D486">
        <v>-0.1104469157900972</v>
      </c>
      <c r="E486">
        <v>3.1629060918844924E-2</v>
      </c>
      <c r="F486">
        <v>3430.9308655973255</v>
      </c>
    </row>
    <row r="487" spans="1:6" x14ac:dyDescent="0.3">
      <c r="A487">
        <v>0.05</v>
      </c>
      <c r="B487" t="s">
        <v>91</v>
      </c>
      <c r="C487">
        <v>-0.1</v>
      </c>
      <c r="D487">
        <v>-0.10033534773107562</v>
      </c>
      <c r="E487">
        <v>3.0464504238128656E-2</v>
      </c>
      <c r="F487">
        <v>3730.1175451154472</v>
      </c>
    </row>
    <row r="488" spans="1:6" x14ac:dyDescent="0.3">
      <c r="A488">
        <v>0.05</v>
      </c>
      <c r="B488" t="s">
        <v>91</v>
      </c>
      <c r="C488">
        <v>-0.09</v>
      </c>
      <c r="D488">
        <v>-9.0244187856146837E-2</v>
      </c>
      <c r="E488">
        <v>2.9227914427587966E-2</v>
      </c>
      <c r="F488">
        <v>4087.7686518135947</v>
      </c>
    </row>
    <row r="489" spans="1:6" x14ac:dyDescent="0.3">
      <c r="A489">
        <v>0.05</v>
      </c>
      <c r="B489" t="s">
        <v>91</v>
      </c>
      <c r="C489">
        <v>-0.08</v>
      </c>
      <c r="D489">
        <v>-8.0171325037589683E-2</v>
      </c>
      <c r="E489">
        <v>2.7907346734024254E-2</v>
      </c>
      <c r="F489">
        <v>4523.4105866235504</v>
      </c>
    </row>
    <row r="490" spans="1:6" x14ac:dyDescent="0.3">
      <c r="A490">
        <v>0.05</v>
      </c>
      <c r="B490" t="s">
        <v>91</v>
      </c>
      <c r="C490">
        <v>-7.0000000000000007E-2</v>
      </c>
      <c r="D490">
        <v>-7.0114670654325195E-2</v>
      </c>
      <c r="E490">
        <v>2.6487168369350982E-2</v>
      </c>
      <c r="F490">
        <v>5066.5173252858694</v>
      </c>
    </row>
    <row r="491" spans="1:6" x14ac:dyDescent="0.3">
      <c r="A491">
        <v>0.05</v>
      </c>
      <c r="B491" t="s">
        <v>91</v>
      </c>
      <c r="C491">
        <v>-0.06</v>
      </c>
      <c r="D491">
        <v>-6.007215592103167E-2</v>
      </c>
      <c r="E491">
        <v>2.4946198082859108E-2</v>
      </c>
      <c r="F491">
        <v>5763.8732966822827</v>
      </c>
    </row>
    <row r="492" spans="1:6" x14ac:dyDescent="0.3">
      <c r="A492">
        <v>0.05</v>
      </c>
      <c r="B492" t="s">
        <v>91</v>
      </c>
      <c r="C492">
        <v>-0.05</v>
      </c>
      <c r="D492">
        <v>-5.0041729278491327E-2</v>
      </c>
      <c r="E492">
        <v>2.3254416321491975E-2</v>
      </c>
      <c r="F492">
        <v>6694.7158519000022</v>
      </c>
    </row>
    <row r="493" spans="1:6" x14ac:dyDescent="0.3">
      <c r="A493">
        <v>0.05</v>
      </c>
      <c r="B493" t="s">
        <v>91</v>
      </c>
      <c r="C493">
        <v>-0.04</v>
      </c>
      <c r="D493">
        <v>-4.0021353836768248E-2</v>
      </c>
      <c r="E493">
        <v>2.1366574402791997E-2</v>
      </c>
      <c r="F493">
        <v>8005.4653763849246</v>
      </c>
    </row>
    <row r="494" spans="1:6" x14ac:dyDescent="0.3">
      <c r="A494">
        <v>0.05</v>
      </c>
      <c r="B494" t="s">
        <v>91</v>
      </c>
      <c r="C494">
        <v>-0.03</v>
      </c>
      <c r="D494">
        <v>-3.000900486312652E-2</v>
      </c>
      <c r="E494">
        <v>1.9208548581970124E-2</v>
      </c>
      <c r="F494">
        <v>10002.356783393552</v>
      </c>
    </row>
    <row r="495" spans="1:6" x14ac:dyDescent="0.3">
      <c r="A495">
        <v>0.05</v>
      </c>
      <c r="B495" t="s">
        <v>91</v>
      </c>
      <c r="C495">
        <v>-0.02</v>
      </c>
      <c r="D495">
        <v>-2.0002667306849624E-2</v>
      </c>
      <c r="E495">
        <v>1.6641423140756922E-2</v>
      </c>
      <c r="F495">
        <v>13462.237944252365</v>
      </c>
    </row>
    <row r="496" spans="1:6" x14ac:dyDescent="0.3">
      <c r="A496">
        <v>0.05</v>
      </c>
      <c r="B496" t="s">
        <v>91</v>
      </c>
      <c r="C496">
        <v>-0.01</v>
      </c>
      <c r="D496">
        <v>-1.0000333353334771E-2</v>
      </c>
      <c r="E496">
        <v>1.3333725973215582E-2</v>
      </c>
      <c r="F496">
        <v>21197.953561094928</v>
      </c>
    </row>
    <row r="497" spans="1:6" x14ac:dyDescent="0.3">
      <c r="A497">
        <v>0.01</v>
      </c>
      <c r="B497" t="s">
        <v>91</v>
      </c>
      <c r="C497">
        <v>-0.99</v>
      </c>
      <c r="D497">
        <v>-2.6466524123622457</v>
      </c>
      <c r="E497">
        <v>0.10718205693085744</v>
      </c>
      <c r="F497">
        <v>168.55054290556086</v>
      </c>
    </row>
    <row r="498" spans="1:6" x14ac:dyDescent="0.3">
      <c r="A498">
        <v>0.01</v>
      </c>
      <c r="B498" t="s">
        <v>91</v>
      </c>
      <c r="C498">
        <v>-0.98</v>
      </c>
      <c r="D498">
        <v>-2.2975599250672945</v>
      </c>
      <c r="E498">
        <v>0.10497103132856234</v>
      </c>
      <c r="F498">
        <v>193.13687744400445</v>
      </c>
    </row>
    <row r="499" spans="1:6" x14ac:dyDescent="0.3">
      <c r="A499">
        <v>0.01</v>
      </c>
      <c r="B499" t="s">
        <v>91</v>
      </c>
      <c r="C499">
        <v>-0.97</v>
      </c>
      <c r="D499">
        <v>-2.0922957200349388</v>
      </c>
      <c r="E499">
        <v>0.10341969121999735</v>
      </c>
      <c r="F499">
        <v>211.33705670214562</v>
      </c>
    </row>
    <row r="500" spans="1:6" x14ac:dyDescent="0.3">
      <c r="A500">
        <v>0.01</v>
      </c>
      <c r="B500" t="s">
        <v>91</v>
      </c>
      <c r="C500">
        <v>-0.96</v>
      </c>
      <c r="D500">
        <v>-1.9459101490553128</v>
      </c>
      <c r="E500">
        <v>0.10216989958602142</v>
      </c>
      <c r="F500">
        <v>226.60639692447523</v>
      </c>
    </row>
    <row r="501" spans="1:6" x14ac:dyDescent="0.3">
      <c r="A501">
        <v>0.01</v>
      </c>
      <c r="B501" t="s">
        <v>91</v>
      </c>
      <c r="C501">
        <v>-0.95</v>
      </c>
      <c r="D501">
        <v>-1.8317808230648227</v>
      </c>
      <c r="E501">
        <v>0.10109751925136344</v>
      </c>
      <c r="F501">
        <v>240.16216947113188</v>
      </c>
    </row>
    <row r="502" spans="1:6" x14ac:dyDescent="0.3">
      <c r="A502">
        <v>0.01</v>
      </c>
      <c r="B502" t="s">
        <v>91</v>
      </c>
      <c r="C502">
        <v>-0.94</v>
      </c>
      <c r="D502">
        <v>-1.7380493449176362</v>
      </c>
      <c r="E502">
        <v>0.10014329060508255</v>
      </c>
      <c r="F502">
        <v>252.59231928337746</v>
      </c>
    </row>
    <row r="503" spans="1:6" x14ac:dyDescent="0.3">
      <c r="A503">
        <v>0.01</v>
      </c>
      <c r="B503" t="s">
        <v>91</v>
      </c>
      <c r="C503">
        <v>-0.93</v>
      </c>
      <c r="D503">
        <v>-1.6583900199247865</v>
      </c>
      <c r="E503">
        <v>9.9273858976250198E-2</v>
      </c>
      <c r="F503">
        <v>264.23138475594214</v>
      </c>
    </row>
    <row r="504" spans="1:6" x14ac:dyDescent="0.3">
      <c r="A504">
        <v>0.01</v>
      </c>
      <c r="B504" t="s">
        <v>91</v>
      </c>
      <c r="C504">
        <v>-0.92</v>
      </c>
      <c r="D504">
        <v>-1.5890269151739731</v>
      </c>
      <c r="E504">
        <v>9.8468396726738266E-2</v>
      </c>
      <c r="F504">
        <v>275.29042725462261</v>
      </c>
    </row>
    <row r="505" spans="1:6" x14ac:dyDescent="0.3">
      <c r="A505">
        <v>0.01</v>
      </c>
      <c r="B505" t="s">
        <v>91</v>
      </c>
      <c r="C505">
        <v>-0.91</v>
      </c>
      <c r="D505">
        <v>-1.5275244253552054</v>
      </c>
      <c r="E505">
        <v>9.7712916002846664E-2</v>
      </c>
      <c r="F505">
        <v>285.91257272100989</v>
      </c>
    </row>
    <row r="506" spans="1:6" x14ac:dyDescent="0.3">
      <c r="A506">
        <v>0.01</v>
      </c>
      <c r="B506" t="s">
        <v>91</v>
      </c>
      <c r="C506">
        <v>-0.9</v>
      </c>
      <c r="D506">
        <v>-1.4722194895832204</v>
      </c>
      <c r="E506">
        <v>9.6997566319692821E-2</v>
      </c>
      <c r="F506">
        <v>296.20022992650036</v>
      </c>
    </row>
    <row r="507" spans="1:6" x14ac:dyDescent="0.3">
      <c r="A507">
        <v>0.01</v>
      </c>
      <c r="B507" t="s">
        <v>91</v>
      </c>
      <c r="C507">
        <v>-0.89</v>
      </c>
      <c r="D507">
        <v>-1.421925871130636</v>
      </c>
      <c r="E507">
        <v>9.6315067470106791E-2</v>
      </c>
      <c r="F507">
        <v>306.22986254450899</v>
      </c>
    </row>
    <row r="508" spans="1:6" x14ac:dyDescent="0.3">
      <c r="A508">
        <v>0.01</v>
      </c>
      <c r="B508" t="s">
        <v>91</v>
      </c>
      <c r="C508">
        <v>-0.88</v>
      </c>
      <c r="D508">
        <v>-1.3757676565209744</v>
      </c>
      <c r="E508">
        <v>9.5659899386943012E-2</v>
      </c>
      <c r="F508">
        <v>316.06055029490045</v>
      </c>
    </row>
    <row r="509" spans="1:6" x14ac:dyDescent="0.3">
      <c r="A509">
        <v>0.01</v>
      </c>
      <c r="B509" t="s">
        <v>91</v>
      </c>
      <c r="C509">
        <v>-0.87</v>
      </c>
      <c r="D509">
        <v>-1.333079629696525</v>
      </c>
      <c r="E509">
        <v>9.5027742026006945E-2</v>
      </c>
      <c r="F509">
        <v>325.73929700985292</v>
      </c>
    </row>
    <row r="510" spans="1:6" x14ac:dyDescent="0.3">
      <c r="A510">
        <v>0.01</v>
      </c>
      <c r="B510" t="s">
        <v>91</v>
      </c>
      <c r="C510">
        <v>-0.86</v>
      </c>
      <c r="D510">
        <v>-1.2933446720489712</v>
      </c>
      <c r="E510">
        <v>9.441516701157962E-2</v>
      </c>
      <c r="F510">
        <v>335.30443563091279</v>
      </c>
    </row>
    <row r="511" spans="1:6" x14ac:dyDescent="0.3">
      <c r="A511">
        <v>0.01</v>
      </c>
      <c r="B511" t="s">
        <v>91</v>
      </c>
      <c r="C511">
        <v>-0.85</v>
      </c>
      <c r="D511">
        <v>-1.2561528119880574</v>
      </c>
      <c r="E511">
        <v>9.3819369092964552E-2</v>
      </c>
      <c r="F511">
        <v>344.78794594363558</v>
      </c>
    </row>
    <row r="512" spans="1:6" x14ac:dyDescent="0.3">
      <c r="A512">
        <v>0.01</v>
      </c>
      <c r="B512" t="s">
        <v>91</v>
      </c>
      <c r="C512">
        <v>-0.84</v>
      </c>
      <c r="D512">
        <v>-1.2211735176846021</v>
      </c>
      <c r="E512">
        <v>9.3238015071410732E-2</v>
      </c>
      <c r="F512">
        <v>354.21704672025635</v>
      </c>
    </row>
    <row r="513" spans="1:6" x14ac:dyDescent="0.3">
      <c r="A513">
        <v>0.01</v>
      </c>
      <c r="B513" t="s">
        <v>91</v>
      </c>
      <c r="C513">
        <v>-0.83</v>
      </c>
      <c r="D513">
        <v>-1.1881364043926024</v>
      </c>
      <c r="E513">
        <v>9.2669202550979643E-2</v>
      </c>
      <c r="F513">
        <v>363.61529162900916</v>
      </c>
    </row>
    <row r="514" spans="1:6" x14ac:dyDescent="0.3">
      <c r="A514">
        <v>0.01</v>
      </c>
      <c r="B514" t="s">
        <v>91</v>
      </c>
      <c r="C514">
        <v>-0.82</v>
      </c>
      <c r="D514">
        <v>-1.1568174645903151</v>
      </c>
      <c r="E514">
        <v>9.2111255364300287E-2</v>
      </c>
      <c r="F514">
        <v>373.00347123551956</v>
      </c>
    </row>
    <row r="515" spans="1:6" x14ac:dyDescent="0.3">
      <c r="A515">
        <v>0.01</v>
      </c>
      <c r="B515" t="s">
        <v>91</v>
      </c>
      <c r="C515">
        <v>-0.81</v>
      </c>
      <c r="D515">
        <v>-1.1270290260496929</v>
      </c>
      <c r="E515">
        <v>9.1562790713462183E-2</v>
      </c>
      <c r="F515">
        <v>382.40015908948624</v>
      </c>
    </row>
    <row r="516" spans="1:6" x14ac:dyDescent="0.3">
      <c r="A516">
        <v>0.01</v>
      </c>
      <c r="B516" t="s">
        <v>91</v>
      </c>
      <c r="C516">
        <v>-0.8</v>
      </c>
      <c r="D516">
        <v>-1.0986122886681098</v>
      </c>
      <c r="E516">
        <v>9.102255369380953E-2</v>
      </c>
      <c r="F516">
        <v>391.82225900413039</v>
      </c>
    </row>
    <row r="517" spans="1:6" x14ac:dyDescent="0.3">
      <c r="A517">
        <v>0.01</v>
      </c>
      <c r="B517" t="s">
        <v>91</v>
      </c>
      <c r="C517">
        <v>-0.79</v>
      </c>
      <c r="D517">
        <v>-1.0714316840586662</v>
      </c>
      <c r="E517">
        <v>9.0489488806336671E-2</v>
      </c>
      <c r="F517">
        <v>401.28530569740309</v>
      </c>
    </row>
    <row r="518" spans="1:6" x14ac:dyDescent="0.3">
      <c r="A518">
        <v>0.01</v>
      </c>
      <c r="B518" t="s">
        <v>91</v>
      </c>
      <c r="C518">
        <v>-0.78</v>
      </c>
      <c r="D518">
        <v>-1.0453705484668847</v>
      </c>
      <c r="E518">
        <v>8.9962626076656463E-2</v>
      </c>
      <c r="F518">
        <v>410.80381244615415</v>
      </c>
    </row>
    <row r="519" spans="1:6" x14ac:dyDescent="0.3">
      <c r="A519">
        <v>0.01</v>
      </c>
      <c r="B519" t="s">
        <v>91</v>
      </c>
      <c r="C519">
        <v>-0.77</v>
      </c>
      <c r="D519">
        <v>-1.0203277583223398</v>
      </c>
      <c r="E519">
        <v>8.9441138397297448E-2</v>
      </c>
      <c r="F519">
        <v>420.39145084038881</v>
      </c>
    </row>
    <row r="520" spans="1:6" x14ac:dyDescent="0.3">
      <c r="A520">
        <v>0.01</v>
      </c>
      <c r="B520" t="s">
        <v>91</v>
      </c>
      <c r="C520">
        <v>-0.76</v>
      </c>
      <c r="D520">
        <v>-0.99621508234510314</v>
      </c>
      <c r="E520">
        <v>8.8924252345097168E-2</v>
      </c>
      <c r="F520">
        <v>430.06129262668094</v>
      </c>
    </row>
    <row r="521" spans="1:6" x14ac:dyDescent="0.3">
      <c r="A521">
        <v>0.01</v>
      </c>
      <c r="B521" t="s">
        <v>91</v>
      </c>
      <c r="C521">
        <v>-0.75</v>
      </c>
      <c r="D521">
        <v>-0.97295507452765673</v>
      </c>
      <c r="E521">
        <v>8.841129745188854E-2</v>
      </c>
      <c r="F521">
        <v>439.82592232891153</v>
      </c>
    </row>
    <row r="522" spans="1:6" x14ac:dyDescent="0.3">
      <c r="A522">
        <v>0.01</v>
      </c>
      <c r="B522" t="s">
        <v>91</v>
      </c>
      <c r="C522">
        <v>-0.74</v>
      </c>
      <c r="D522">
        <v>-0.95047938059652348</v>
      </c>
      <c r="E522">
        <v>8.7901631043564174E-2</v>
      </c>
      <c r="F522">
        <v>449.69762036235795</v>
      </c>
    </row>
    <row r="523" spans="1:6" x14ac:dyDescent="0.3">
      <c r="A523">
        <v>0.01</v>
      </c>
      <c r="B523" t="s">
        <v>91</v>
      </c>
      <c r="C523">
        <v>-0.73</v>
      </c>
      <c r="D523">
        <v>-0.92872736424672497</v>
      </c>
      <c r="E523">
        <v>8.7394686827864554E-2</v>
      </c>
      <c r="F523">
        <v>459.68843369278397</v>
      </c>
    </row>
    <row r="524" spans="1:6" x14ac:dyDescent="0.3">
      <c r="A524">
        <v>0.01</v>
      </c>
      <c r="B524" t="s">
        <v>91</v>
      </c>
      <c r="C524">
        <v>-0.72</v>
      </c>
      <c r="D524">
        <v>-0.90764498331912458</v>
      </c>
      <c r="E524">
        <v>8.6889944828860075E-2</v>
      </c>
      <c r="F524">
        <v>469.81029344447762</v>
      </c>
    </row>
    <row r="525" spans="1:6" x14ac:dyDescent="0.3">
      <c r="A525">
        <v>0.01</v>
      </c>
      <c r="B525" t="s">
        <v>91</v>
      </c>
      <c r="C525">
        <v>-0.71</v>
      </c>
      <c r="D525">
        <v>-0.88718386325809284</v>
      </c>
      <c r="E525">
        <v>8.6386883939851722E-2</v>
      </c>
      <c r="F525">
        <v>480.07514227662</v>
      </c>
    </row>
    <row r="526" spans="1:6" x14ac:dyDescent="0.3">
      <c r="A526">
        <v>0.01</v>
      </c>
      <c r="B526" t="s">
        <v>91</v>
      </c>
      <c r="C526">
        <v>-0.7</v>
      </c>
      <c r="D526">
        <v>-0.86730052769405308</v>
      </c>
      <c r="E526">
        <v>8.5885080006485273E-2</v>
      </c>
      <c r="F526">
        <v>490.49492460061111</v>
      </c>
    </row>
    <row r="527" spans="1:6" x14ac:dyDescent="0.3">
      <c r="A527">
        <v>0.01</v>
      </c>
      <c r="B527" t="s">
        <v>91</v>
      </c>
      <c r="C527">
        <v>-0.69</v>
      </c>
      <c r="D527">
        <v>-0.84795575521896349</v>
      </c>
      <c r="E527">
        <v>8.5384076450445948E-2</v>
      </c>
      <c r="F527">
        <v>501.08177434145011</v>
      </c>
    </row>
    <row r="528" spans="1:6" x14ac:dyDescent="0.3">
      <c r="A528">
        <v>0.01</v>
      </c>
      <c r="B528" t="s">
        <v>91</v>
      </c>
      <c r="C528">
        <v>-0.68</v>
      </c>
      <c r="D528">
        <v>-0.82911403830176633</v>
      </c>
      <c r="E528">
        <v>8.4883472372069307E-2</v>
      </c>
      <c r="F528">
        <v>511.8480032717606</v>
      </c>
    </row>
    <row r="529" spans="1:6" x14ac:dyDescent="0.3">
      <c r="A529">
        <v>0.01</v>
      </c>
      <c r="B529" t="s">
        <v>91</v>
      </c>
      <c r="C529">
        <v>-0.67</v>
      </c>
      <c r="D529">
        <v>-0.81074312547513749</v>
      </c>
      <c r="E529">
        <v>8.4382870511473806E-2</v>
      </c>
      <c r="F529">
        <v>522.8062153869854</v>
      </c>
    </row>
    <row r="530" spans="1:6" x14ac:dyDescent="0.3">
      <c r="A530">
        <v>0.01</v>
      </c>
      <c r="B530" t="s">
        <v>91</v>
      </c>
      <c r="C530">
        <v>-0.66</v>
      </c>
      <c r="D530">
        <v>-0.79281363187019105</v>
      </c>
      <c r="E530">
        <v>8.388190568991824E-2</v>
      </c>
      <c r="F530">
        <v>533.96934321154913</v>
      </c>
    </row>
    <row r="531" spans="1:6" x14ac:dyDescent="0.3">
      <c r="A531">
        <v>0.01</v>
      </c>
      <c r="B531" t="s">
        <v>91</v>
      </c>
      <c r="C531">
        <v>-0.65</v>
      </c>
      <c r="D531">
        <v>-0.7752987062055835</v>
      </c>
      <c r="E531">
        <v>8.3380232199442073E-2</v>
      </c>
      <c r="F531">
        <v>545.3507232143121</v>
      </c>
    </row>
    <row r="532" spans="1:6" x14ac:dyDescent="0.3">
      <c r="A532">
        <v>0.01</v>
      </c>
      <c r="B532" t="s">
        <v>91</v>
      </c>
      <c r="C532">
        <v>-0.64</v>
      </c>
      <c r="D532">
        <v>-0.7581737446840443</v>
      </c>
      <c r="E532">
        <v>8.2877488943331357E-2</v>
      </c>
      <c r="F532">
        <v>556.96419961830952</v>
      </c>
    </row>
    <row r="533" spans="1:6" x14ac:dyDescent="0.3">
      <c r="A533">
        <v>0.01</v>
      </c>
      <c r="B533" t="s">
        <v>91</v>
      </c>
      <c r="C533">
        <v>-0.63</v>
      </c>
      <c r="D533">
        <v>-0.74141614408126888</v>
      </c>
      <c r="E533">
        <v>8.2373346904502487E-2</v>
      </c>
      <c r="F533">
        <v>568.82413965563615</v>
      </c>
    </row>
    <row r="534" spans="1:6" x14ac:dyDescent="0.3">
      <c r="A534">
        <v>0.01</v>
      </c>
      <c r="B534" t="s">
        <v>91</v>
      </c>
      <c r="C534">
        <v>-0.62</v>
      </c>
      <c r="D534">
        <v>-0.72500508775299921</v>
      </c>
      <c r="E534">
        <v>8.1867476242098391E-2</v>
      </c>
      <c r="F534">
        <v>580.94553875811584</v>
      </c>
    </row>
    <row r="535" spans="1:6" x14ac:dyDescent="0.3">
      <c r="A535">
        <v>0.01</v>
      </c>
      <c r="B535" t="s">
        <v>91</v>
      </c>
      <c r="C535">
        <v>-0.61</v>
      </c>
      <c r="D535">
        <v>-0.7089213594274083</v>
      </c>
      <c r="E535">
        <v>8.135956750235597E-2</v>
      </c>
      <c r="F535">
        <v>593.34406779948279</v>
      </c>
    </row>
    <row r="536" spans="1:6" x14ac:dyDescent="0.3">
      <c r="A536">
        <v>0.01</v>
      </c>
      <c r="B536" t="s">
        <v>91</v>
      </c>
      <c r="C536">
        <v>-0.6</v>
      </c>
      <c r="D536">
        <v>-0.69314718055994529</v>
      </c>
      <c r="E536">
        <v>8.0849305073360328E-2</v>
      </c>
      <c r="F536">
        <v>606.03618154920025</v>
      </c>
    </row>
    <row r="537" spans="1:6" x14ac:dyDescent="0.3">
      <c r="A537">
        <v>0.01</v>
      </c>
      <c r="B537" t="s">
        <v>91</v>
      </c>
      <c r="C537">
        <v>-0.59</v>
      </c>
      <c r="D537">
        <v>-0.67766606775796179</v>
      </c>
      <c r="E537">
        <v>8.0336380745509348E-2</v>
      </c>
      <c r="F537">
        <v>619.03918427150745</v>
      </c>
    </row>
    <row r="538" spans="1:6" x14ac:dyDescent="0.3">
      <c r="A538">
        <v>0.01</v>
      </c>
      <c r="B538" t="s">
        <v>91</v>
      </c>
      <c r="C538">
        <v>-0.57999999999999996</v>
      </c>
      <c r="D538">
        <v>-0.66246270737179924</v>
      </c>
      <c r="E538">
        <v>7.9820461724952316E-2</v>
      </c>
      <c r="F538">
        <v>632.37136141296571</v>
      </c>
    </row>
    <row r="539" spans="1:6" x14ac:dyDescent="0.3">
      <c r="A539">
        <v>0.01</v>
      </c>
      <c r="B539" t="s">
        <v>91</v>
      </c>
      <c r="C539">
        <v>-0.56999999999999995</v>
      </c>
      <c r="D539">
        <v>-0.64752284482737277</v>
      </c>
      <c r="E539">
        <v>7.9301268591670346E-2</v>
      </c>
      <c r="F539">
        <v>646.05196763580523</v>
      </c>
    </row>
    <row r="540" spans="1:6" x14ac:dyDescent="0.3">
      <c r="A540">
        <v>0.01</v>
      </c>
      <c r="B540" t="s">
        <v>91</v>
      </c>
      <c r="C540">
        <v>-0.56000000000000005</v>
      </c>
      <c r="D540">
        <v>-0.63283318666563804</v>
      </c>
      <c r="E540">
        <v>7.87784823037041E-2</v>
      </c>
      <c r="F540">
        <v>660.10145659521606</v>
      </c>
    </row>
    <row r="541" spans="1:6" x14ac:dyDescent="0.3">
      <c r="A541">
        <v>0.01</v>
      </c>
      <c r="B541" t="s">
        <v>91</v>
      </c>
      <c r="C541">
        <v>-0.55000000000000004</v>
      </c>
      <c r="D541">
        <v>-0.61838131357446346</v>
      </c>
      <c r="E541">
        <v>7.8251790217414199E-2</v>
      </c>
      <c r="F541">
        <v>674.54153140735855</v>
      </c>
    </row>
    <row r="542" spans="1:6" x14ac:dyDescent="0.3">
      <c r="A542">
        <v>0.01</v>
      </c>
      <c r="B542" t="s">
        <v>91</v>
      </c>
      <c r="C542">
        <v>-0.54</v>
      </c>
      <c r="D542">
        <v>-0.60415560296226711</v>
      </c>
      <c r="E542">
        <v>7.7720887727046634E-2</v>
      </c>
      <c r="F542">
        <v>689.39526302241131</v>
      </c>
    </row>
    <row r="543" spans="1:6" x14ac:dyDescent="0.3">
      <c r="A543">
        <v>0.01</v>
      </c>
      <c r="B543" t="s">
        <v>91</v>
      </c>
      <c r="C543">
        <v>-0.53</v>
      </c>
      <c r="D543">
        <v>-0.59014515984118854</v>
      </c>
      <c r="E543">
        <v>7.7185451566915822E-2</v>
      </c>
      <c r="F543">
        <v>704.68726695365478</v>
      </c>
    </row>
    <row r="544" spans="1:6" x14ac:dyDescent="0.3">
      <c r="A544">
        <v>0.01</v>
      </c>
      <c r="B544" t="s">
        <v>91</v>
      </c>
      <c r="C544">
        <v>-0.52</v>
      </c>
      <c r="D544">
        <v>-0.57633975496919276</v>
      </c>
      <c r="E544">
        <v>7.6645166492312303E-2</v>
      </c>
      <c r="F544">
        <v>720.44381060998023</v>
      </c>
    </row>
    <row r="545" spans="1:6" x14ac:dyDescent="0.3">
      <c r="A545">
        <v>0.01</v>
      </c>
      <c r="B545" t="s">
        <v>91</v>
      </c>
      <c r="C545">
        <v>-0.51</v>
      </c>
      <c r="D545">
        <v>-0.56272976935214891</v>
      </c>
      <c r="E545">
        <v>7.6099696767697469E-2</v>
      </c>
      <c r="F545">
        <v>736.69302561696759</v>
      </c>
    </row>
    <row r="546" spans="1:6" x14ac:dyDescent="0.3">
      <c r="A546">
        <v>0.01</v>
      </c>
      <c r="B546" t="s">
        <v>91</v>
      </c>
      <c r="C546">
        <v>-0.5</v>
      </c>
      <c r="D546">
        <v>-0.54930614433405489</v>
      </c>
      <c r="E546">
        <v>7.5548723728397355E-2</v>
      </c>
      <c r="F546">
        <v>753.46502589792669</v>
      </c>
    </row>
    <row r="547" spans="1:6" x14ac:dyDescent="0.3">
      <c r="A547">
        <v>0.01</v>
      </c>
      <c r="B547" t="s">
        <v>91</v>
      </c>
      <c r="C547">
        <v>-0.49</v>
      </c>
      <c r="D547">
        <v>-0.53606033661056662</v>
      </c>
      <c r="E547">
        <v>7.4991889616827012E-2</v>
      </c>
      <c r="F547">
        <v>770.79221195785271</v>
      </c>
    </row>
    <row r="548" spans="1:6" x14ac:dyDescent="0.3">
      <c r="A548">
        <v>0.01</v>
      </c>
      <c r="B548" t="s">
        <v>91</v>
      </c>
      <c r="C548">
        <v>-0.48</v>
      </c>
      <c r="D548">
        <v>-0.5229842775913438</v>
      </c>
      <c r="E548">
        <v>7.4428859715567647E-2</v>
      </c>
      <c r="F548">
        <v>788.70938501989531</v>
      </c>
    </row>
    <row r="549" spans="1:6" x14ac:dyDescent="0.3">
      <c r="A549">
        <v>0.01</v>
      </c>
      <c r="B549" t="s">
        <v>91</v>
      </c>
      <c r="C549">
        <v>-0.47</v>
      </c>
      <c r="D549">
        <v>-0.51007033661330725</v>
      </c>
      <c r="E549">
        <v>7.385925270163389E-2</v>
      </c>
      <c r="F549">
        <v>807.25413508659801</v>
      </c>
    </row>
    <row r="550" spans="1:6" x14ac:dyDescent="0.3">
      <c r="A550">
        <v>0.01</v>
      </c>
      <c r="B550" t="s">
        <v>91</v>
      </c>
      <c r="C550">
        <v>-0.46</v>
      </c>
      <c r="D550">
        <v>-0.49731128757203097</v>
      </c>
      <c r="E550">
        <v>7.3282701065496239E-2</v>
      </c>
      <c r="F550">
        <v>826.46701058313022</v>
      </c>
    </row>
    <row r="551" spans="1:6" x14ac:dyDescent="0.3">
      <c r="A551">
        <v>0.01</v>
      </c>
      <c r="B551" t="s">
        <v>91</v>
      </c>
      <c r="C551">
        <v>-0.45</v>
      </c>
      <c r="D551">
        <v>-0.48470027859405168</v>
      </c>
      <c r="E551">
        <v>7.269883251268143E-2</v>
      </c>
      <c r="F551">
        <v>846.3918722805264</v>
      </c>
    </row>
    <row r="552" spans="1:6" x14ac:dyDescent="0.3">
      <c r="A552">
        <v>0.01</v>
      </c>
      <c r="B552" t="s">
        <v>91</v>
      </c>
      <c r="C552">
        <v>-0.44</v>
      </c>
      <c r="D552">
        <v>-0.47223080442042559</v>
      </c>
      <c r="E552">
        <v>7.2107214122269059E-2</v>
      </c>
      <c r="F552">
        <v>867.07638393489731</v>
      </c>
    </row>
    <row r="553" spans="1:6" x14ac:dyDescent="0.3">
      <c r="A553">
        <v>0.01</v>
      </c>
      <c r="B553" t="s">
        <v>91</v>
      </c>
      <c r="C553">
        <v>-0.43</v>
      </c>
      <c r="D553">
        <v>-0.45989668121267852</v>
      </c>
      <c r="E553">
        <v>7.1507448272857363E-2</v>
      </c>
      <c r="F553">
        <v>888.5722116540785</v>
      </c>
    </row>
    <row r="554" spans="1:6" x14ac:dyDescent="0.3">
      <c r="A554">
        <v>0.01</v>
      </c>
      <c r="B554" t="s">
        <v>91</v>
      </c>
      <c r="C554">
        <v>-0.42</v>
      </c>
      <c r="D554">
        <v>-0.4476920235274206</v>
      </c>
      <c r="E554">
        <v>7.0899090826806732E-2</v>
      </c>
      <c r="F554">
        <v>910.93567507362559</v>
      </c>
    </row>
    <row r="555" spans="1:6" x14ac:dyDescent="0.3">
      <c r="A555">
        <v>0.01</v>
      </c>
      <c r="B555" t="s">
        <v>91</v>
      </c>
      <c r="C555">
        <v>-0.41</v>
      </c>
      <c r="D555">
        <v>-0.43561122323622431</v>
      </c>
      <c r="E555">
        <v>7.0281683238033049E-2</v>
      </c>
      <c r="F555">
        <v>934.22820936200685</v>
      </c>
    </row>
    <row r="556" spans="1:6" x14ac:dyDescent="0.3">
      <c r="A556">
        <v>0.01</v>
      </c>
      <c r="B556" t="s">
        <v>91</v>
      </c>
      <c r="C556">
        <v>-0.4</v>
      </c>
      <c r="D556">
        <v>-0.42364893019360178</v>
      </c>
      <c r="E556">
        <v>6.9654746498781173E-2</v>
      </c>
      <c r="F556">
        <v>958.51698807926994</v>
      </c>
    </row>
    <row r="557" spans="1:6" x14ac:dyDescent="0.3">
      <c r="A557">
        <v>0.01</v>
      </c>
      <c r="B557" t="s">
        <v>91</v>
      </c>
      <c r="C557">
        <v>-0.39</v>
      </c>
      <c r="D557">
        <v>-0.41180003447869035</v>
      </c>
      <c r="E557">
        <v>6.9017763093480261E-2</v>
      </c>
      <c r="F557">
        <v>983.87567246037577</v>
      </c>
    </row>
    <row r="558" spans="1:6" x14ac:dyDescent="0.3">
      <c r="A558">
        <v>0.01</v>
      </c>
      <c r="B558" t="s">
        <v>91</v>
      </c>
      <c r="C558">
        <v>-0.38</v>
      </c>
      <c r="D558">
        <v>-0.40005965005605654</v>
      </c>
      <c r="E558">
        <v>6.837021974463979E-2</v>
      </c>
      <c r="F558">
        <v>1010.3850939202863</v>
      </c>
    </row>
    <row r="559" spans="1:6" x14ac:dyDescent="0.3">
      <c r="A559">
        <v>0.01</v>
      </c>
      <c r="B559" t="s">
        <v>91</v>
      </c>
      <c r="C559">
        <v>-0.37</v>
      </c>
      <c r="D559">
        <v>-0.38842309971829614</v>
      </c>
      <c r="E559">
        <v>6.7711528872403559E-2</v>
      </c>
      <c r="F559">
        <v>1038.1344086337372</v>
      </c>
    </row>
    <row r="560" spans="1:6" x14ac:dyDescent="0.3">
      <c r="A560">
        <v>0.01</v>
      </c>
      <c r="B560" t="s">
        <v>91</v>
      </c>
      <c r="C560">
        <v>-0.36</v>
      </c>
      <c r="D560">
        <v>-0.37688590118819004</v>
      </c>
      <c r="E560">
        <v>6.7041119297320262E-2</v>
      </c>
      <c r="F560">
        <v>1067.2219012752296</v>
      </c>
    </row>
    <row r="561" spans="1:6" x14ac:dyDescent="0.3">
      <c r="A561">
        <v>0.01</v>
      </c>
      <c r="B561" t="s">
        <v>91</v>
      </c>
      <c r="C561">
        <v>-0.35</v>
      </c>
      <c r="D561">
        <v>-0.36544375427139619</v>
      </c>
      <c r="E561">
        <v>6.6358346553461844E-2</v>
      </c>
      <c r="F561">
        <v>1097.7565082151953</v>
      </c>
    </row>
    <row r="562" spans="1:6" x14ac:dyDescent="0.3">
      <c r="A562">
        <v>0.01</v>
      </c>
      <c r="B562" t="s">
        <v>91</v>
      </c>
      <c r="C562">
        <v>-0.34</v>
      </c>
      <c r="D562">
        <v>-0.35409252896224297</v>
      </c>
      <c r="E562">
        <v>6.5662535540541245E-2</v>
      </c>
      <c r="F562">
        <v>1129.859147814268</v>
      </c>
    </row>
    <row r="563" spans="1:6" x14ac:dyDescent="0.3">
      <c r="A563">
        <v>0.01</v>
      </c>
      <c r="B563" t="s">
        <v>91</v>
      </c>
      <c r="C563">
        <v>-0.33</v>
      </c>
      <c r="D563">
        <v>-0.34282825441539394</v>
      </c>
      <c r="E563">
        <v>6.495297501136614E-2</v>
      </c>
      <c r="F563">
        <v>1163.6644422542201</v>
      </c>
    </row>
    <row r="564" spans="1:6" x14ac:dyDescent="0.3">
      <c r="A564">
        <v>0.01</v>
      </c>
      <c r="B564" t="s">
        <v>91</v>
      </c>
      <c r="C564">
        <v>-0.32</v>
      </c>
      <c r="D564">
        <v>-0.3316471087051322</v>
      </c>
      <c r="E564">
        <v>6.4228900840162681E-2</v>
      </c>
      <c r="F564">
        <v>1199.3227888369911</v>
      </c>
    </row>
    <row r="565" spans="1:6" x14ac:dyDescent="0.3">
      <c r="A565">
        <v>0.01</v>
      </c>
      <c r="B565" t="s">
        <v>91</v>
      </c>
      <c r="C565">
        <v>-0.31</v>
      </c>
      <c r="D565">
        <v>-0.32054540930194608</v>
      </c>
      <c r="E565">
        <v>6.3489480095876849E-2</v>
      </c>
      <c r="F565">
        <v>1237.0028112097327</v>
      </c>
    </row>
    <row r="566" spans="1:6" x14ac:dyDescent="0.3">
      <c r="A566">
        <v>0.01</v>
      </c>
      <c r="B566" t="s">
        <v>91</v>
      </c>
      <c r="C566">
        <v>-0.3</v>
      </c>
      <c r="D566">
        <v>-0.30951960420311175</v>
      </c>
      <c r="E566">
        <v>6.273385266717163E-2</v>
      </c>
      <c r="F566">
        <v>1276.8940172835091</v>
      </c>
    </row>
    <row r="567" spans="1:6" x14ac:dyDescent="0.3">
      <c r="A567">
        <v>0.01</v>
      </c>
      <c r="B567" t="s">
        <v>91</v>
      </c>
      <c r="C567">
        <v>-0.28999999999999998</v>
      </c>
      <c r="D567">
        <v>-0.29856626366017835</v>
      </c>
      <c r="E567">
        <v>6.1961047304688842E-2</v>
      </c>
      <c r="F567">
        <v>1319.2105421626266</v>
      </c>
    </row>
    <row r="568" spans="1:6" x14ac:dyDescent="0.3">
      <c r="A568">
        <v>0.01</v>
      </c>
      <c r="B568" t="s">
        <v>91</v>
      </c>
      <c r="C568">
        <v>-0.28000000000000003</v>
      </c>
      <c r="D568">
        <v>-0.2876820724517809</v>
      </c>
      <c r="E568">
        <v>6.1170046855488727E-2</v>
      </c>
      <c r="F568">
        <v>1364.194940015022</v>
      </c>
    </row>
    <row r="569" spans="1:6" x14ac:dyDescent="0.3">
      <c r="A569">
        <v>0.01</v>
      </c>
      <c r="B569" t="s">
        <v>91</v>
      </c>
      <c r="C569">
        <v>-0.27</v>
      </c>
      <c r="D569">
        <v>-0.27686382265510007</v>
      </c>
      <c r="E569">
        <v>6.0359750964629207E-2</v>
      </c>
      <c r="F569">
        <v>1412.1232603372343</v>
      </c>
    </row>
    <row r="570" spans="1:6" x14ac:dyDescent="0.3">
      <c r="A570">
        <v>0.01</v>
      </c>
      <c r="B570" t="s">
        <v>91</v>
      </c>
      <c r="C570">
        <v>-0.26</v>
      </c>
      <c r="D570">
        <v>-0.26610840687365411</v>
      </c>
      <c r="E570">
        <v>5.9528929572021994E-2</v>
      </c>
      <c r="F570">
        <v>1463.3112933110797</v>
      </c>
    </row>
    <row r="571" spans="1:6" x14ac:dyDescent="0.3">
      <c r="A571">
        <v>0.01</v>
      </c>
      <c r="B571" t="s">
        <v>91</v>
      </c>
      <c r="C571">
        <v>-0.25</v>
      </c>
      <c r="D571">
        <v>-0.25541281188299536</v>
      </c>
      <c r="E571">
        <v>5.8676277204375238E-2</v>
      </c>
      <c r="F571">
        <v>1518.1216302787705</v>
      </c>
    </row>
    <row r="572" spans="1:6" x14ac:dyDescent="0.3">
      <c r="A572">
        <v>0.01</v>
      </c>
      <c r="B572" t="s">
        <v>91</v>
      </c>
      <c r="C572">
        <v>-0.24</v>
      </c>
      <c r="D572">
        <v>-0.24477411265935289</v>
      </c>
      <c r="E572">
        <v>5.7800345711055329E-2</v>
      </c>
      <c r="F572">
        <v>1576.9730942625242</v>
      </c>
    </row>
    <row r="573" spans="1:6" x14ac:dyDescent="0.3">
      <c r="A573">
        <v>0.01</v>
      </c>
      <c r="B573" t="s">
        <v>91</v>
      </c>
      <c r="C573">
        <v>-0.23</v>
      </c>
      <c r="D573">
        <v>-0.23418946675936678</v>
      </c>
      <c r="E573">
        <v>5.6899544967582802E-2</v>
      </c>
      <c r="F573">
        <v>1640.3520373193237</v>
      </c>
    </row>
    <row r="574" spans="1:6" x14ac:dyDescent="0.3">
      <c r="A574">
        <v>0.01</v>
      </c>
      <c r="B574" t="s">
        <v>91</v>
      </c>
      <c r="C574">
        <v>-0.22</v>
      </c>
      <c r="D574">
        <v>-0.22365610902183239</v>
      </c>
      <c r="E574">
        <v>5.5972133248577763E-2</v>
      </c>
      <c r="F574">
        <v>1708.8265508079355</v>
      </c>
    </row>
    <row r="575" spans="1:6" x14ac:dyDescent="0.3">
      <c r="A575">
        <v>0.01</v>
      </c>
      <c r="B575" t="s">
        <v>91</v>
      </c>
      <c r="C575">
        <v>-0.21</v>
      </c>
      <c r="D575">
        <v>-0.21317134656485975</v>
      </c>
      <c r="E575">
        <v>5.5016176570625012E-2</v>
      </c>
      <c r="F575">
        <v>1783.0646674035031</v>
      </c>
    </row>
    <row r="576" spans="1:6" x14ac:dyDescent="0.3">
      <c r="A576">
        <v>0.01</v>
      </c>
      <c r="B576" t="s">
        <v>91</v>
      </c>
      <c r="C576">
        <v>-0.2</v>
      </c>
      <c r="D576">
        <v>-0.20273255405408214</v>
      </c>
      <c r="E576">
        <v>5.4029499754352055E-2</v>
      </c>
      <c r="F576">
        <v>1863.8577004790482</v>
      </c>
    </row>
    <row r="577" spans="1:6" x14ac:dyDescent="0.3">
      <c r="A577">
        <v>0.01</v>
      </c>
      <c r="B577" t="s">
        <v>91</v>
      </c>
      <c r="C577">
        <v>-0.19</v>
      </c>
      <c r="D577">
        <v>-0.1923371692195453</v>
      </c>
      <c r="E577">
        <v>5.3009692593984907E-2</v>
      </c>
      <c r="F577">
        <v>1952.1498771798815</v>
      </c>
    </row>
    <row r="578" spans="1:6" x14ac:dyDescent="0.3">
      <c r="A578">
        <v>0.01</v>
      </c>
      <c r="B578" t="s">
        <v>91</v>
      </c>
      <c r="C578">
        <v>-0.18</v>
      </c>
      <c r="D578">
        <v>-0.18198268860070579</v>
      </c>
      <c r="E578">
        <v>5.1954033236574153E-2</v>
      </c>
      <c r="F578">
        <v>2049.0778173958633</v>
      </c>
    </row>
    <row r="579" spans="1:6" x14ac:dyDescent="0.3">
      <c r="A579">
        <v>0.01</v>
      </c>
      <c r="B579" t="s">
        <v>91</v>
      </c>
      <c r="C579">
        <v>-0.17</v>
      </c>
      <c r="D579">
        <v>-0.17166666350057908</v>
      </c>
      <c r="E579">
        <v>5.0859425996598283E-2</v>
      </c>
      <c r="F579">
        <v>2156.0226702451996</v>
      </c>
    </row>
    <row r="580" spans="1:6" x14ac:dyDescent="0.3">
      <c r="A580">
        <v>0.01</v>
      </c>
      <c r="B580" t="s">
        <v>91</v>
      </c>
      <c r="C580">
        <v>-0.16</v>
      </c>
      <c r="D580">
        <v>-0.16138669613152551</v>
      </c>
      <c r="E580">
        <v>4.9722363293542314E-2</v>
      </c>
      <c r="F580">
        <v>2274.6797969170811</v>
      </c>
    </row>
    <row r="581" spans="1:6" x14ac:dyDescent="0.3">
      <c r="A581">
        <v>0.01</v>
      </c>
      <c r="B581" t="s">
        <v>91</v>
      </c>
      <c r="C581">
        <v>-0.15</v>
      </c>
      <c r="D581">
        <v>-0.15114043593646675</v>
      </c>
      <c r="E581">
        <v>4.8538768268045547E-2</v>
      </c>
      <c r="F581">
        <v>2407.1553465974325</v>
      </c>
    </row>
    <row r="582" spans="1:6" x14ac:dyDescent="0.3">
      <c r="A582">
        <v>0.01</v>
      </c>
      <c r="B582" t="s">
        <v>91</v>
      </c>
      <c r="C582">
        <v>-0.14000000000000001</v>
      </c>
      <c r="D582">
        <v>-0.14092557607049394</v>
      </c>
      <c r="E582">
        <v>4.7303956616811214E-2</v>
      </c>
      <c r="F582">
        <v>2556.0986659317064</v>
      </c>
    </row>
    <row r="583" spans="1:6" x14ac:dyDescent="0.3">
      <c r="A583">
        <v>0.01</v>
      </c>
      <c r="B583" t="s">
        <v>91</v>
      </c>
      <c r="C583">
        <v>-0.13</v>
      </c>
      <c r="D583">
        <v>-0.13073985002887836</v>
      </c>
      <c r="E583">
        <v>4.6012411248505733E-2</v>
      </c>
      <c r="F583">
        <v>2724.8926762676006</v>
      </c>
    </row>
    <row r="584" spans="1:6" x14ac:dyDescent="0.3">
      <c r="A584">
        <v>0.01</v>
      </c>
      <c r="B584" t="s">
        <v>91</v>
      </c>
      <c r="C584">
        <v>-0.12</v>
      </c>
      <c r="D584">
        <v>-0.12058102840844405</v>
      </c>
      <c r="E584">
        <v>4.4657593588720443E-2</v>
      </c>
      <c r="F584">
        <v>2917.9291160800531</v>
      </c>
    </row>
    <row r="585" spans="1:6" x14ac:dyDescent="0.3">
      <c r="A585">
        <v>0.01</v>
      </c>
      <c r="B585" t="s">
        <v>91</v>
      </c>
      <c r="C585">
        <v>-0.11</v>
      </c>
      <c r="D585">
        <v>-0.1104469157900972</v>
      </c>
      <c r="E585">
        <v>4.3231642177347651E-2</v>
      </c>
      <c r="F585">
        <v>3141.0198299630388</v>
      </c>
    </row>
    <row r="586" spans="1:6" x14ac:dyDescent="0.3">
      <c r="A586">
        <v>0.01</v>
      </c>
      <c r="B586" t="s">
        <v>91</v>
      </c>
      <c r="C586">
        <v>-0.1</v>
      </c>
      <c r="D586">
        <v>-0.10033534773107562</v>
      </c>
      <c r="E586">
        <v>4.1724970030550597E-2</v>
      </c>
      <c r="F586">
        <v>3402.0287989970993</v>
      </c>
    </row>
    <row r="587" spans="1:6" x14ac:dyDescent="0.3">
      <c r="A587">
        <v>0.01</v>
      </c>
      <c r="B587" t="s">
        <v>91</v>
      </c>
      <c r="C587">
        <v>-0.09</v>
      </c>
      <c r="D587">
        <v>-9.0244187856146837E-2</v>
      </c>
      <c r="E587">
        <v>4.0125660178812098E-2</v>
      </c>
      <c r="F587">
        <v>3711.8792708855844</v>
      </c>
    </row>
    <row r="588" spans="1:6" x14ac:dyDescent="0.3">
      <c r="A588">
        <v>0.01</v>
      </c>
      <c r="B588" t="s">
        <v>91</v>
      </c>
      <c r="C588">
        <v>-0.08</v>
      </c>
      <c r="D588">
        <v>-8.0171325037589683E-2</v>
      </c>
      <c r="E588">
        <v>3.8418589482786314E-2</v>
      </c>
      <c r="F588">
        <v>4086.2253063891517</v>
      </c>
    </row>
    <row r="589" spans="1:6" x14ac:dyDescent="0.3">
      <c r="A589">
        <v>0.01</v>
      </c>
      <c r="B589" t="s">
        <v>91</v>
      </c>
      <c r="C589">
        <v>-7.0000000000000007E-2</v>
      </c>
      <c r="D589">
        <v>-7.0114670654325195E-2</v>
      </c>
      <c r="E589">
        <v>3.6584010230751016E-2</v>
      </c>
      <c r="F589">
        <v>4548.3719078901777</v>
      </c>
    </row>
    <row r="590" spans="1:6" x14ac:dyDescent="0.3">
      <c r="A590">
        <v>0.01</v>
      </c>
      <c r="B590" t="s">
        <v>91</v>
      </c>
      <c r="C590">
        <v>-0.06</v>
      </c>
      <c r="D590">
        <v>-6.007215592103167E-2</v>
      </c>
      <c r="E590">
        <v>3.4595332201063235E-2</v>
      </c>
      <c r="F590">
        <v>5134.6933795226705</v>
      </c>
    </row>
    <row r="591" spans="1:6" x14ac:dyDescent="0.3">
      <c r="A591">
        <v>0.01</v>
      </c>
      <c r="B591" t="s">
        <v>91</v>
      </c>
      <c r="C591">
        <v>-0.05</v>
      </c>
      <c r="D591">
        <v>-5.0041729278491327E-2</v>
      </c>
      <c r="E591">
        <v>3.2415060984092095E-2</v>
      </c>
      <c r="F591">
        <v>5905.519273957716</v>
      </c>
    </row>
    <row r="592" spans="1:6" x14ac:dyDescent="0.3">
      <c r="A592">
        <v>0.01</v>
      </c>
      <c r="B592" t="s">
        <v>91</v>
      </c>
      <c r="C592">
        <v>-0.04</v>
      </c>
      <c r="D592">
        <v>-4.0021353836768248E-2</v>
      </c>
      <c r="E592">
        <v>2.9987375796535699E-2</v>
      </c>
      <c r="F592">
        <v>6969.3169528340504</v>
      </c>
    </row>
    <row r="593" spans="1:6" x14ac:dyDescent="0.3">
      <c r="A593">
        <v>0.01</v>
      </c>
      <c r="B593" t="s">
        <v>91</v>
      </c>
      <c r="C593">
        <v>-0.03</v>
      </c>
      <c r="D593">
        <v>-3.000900486312652E-2</v>
      </c>
      <c r="E593">
        <v>2.7221930558350184E-2</v>
      </c>
      <c r="F593">
        <v>8544.5756343823159</v>
      </c>
    </row>
    <row r="594" spans="1:6" x14ac:dyDescent="0.3">
      <c r="A594">
        <v>0.01</v>
      </c>
      <c r="B594" t="s">
        <v>91</v>
      </c>
      <c r="C594">
        <v>-0.02</v>
      </c>
      <c r="D594">
        <v>-2.0002667306849624E-2</v>
      </c>
      <c r="E594">
        <v>2.3953381184162844E-2</v>
      </c>
      <c r="F594">
        <v>11154.798733031828</v>
      </c>
    </row>
    <row r="595" spans="1:6" x14ac:dyDescent="0.3">
      <c r="A595">
        <v>0.01</v>
      </c>
      <c r="B595" t="s">
        <v>91</v>
      </c>
      <c r="C595">
        <v>-0.01</v>
      </c>
      <c r="D595">
        <v>-1.0000333353334771E-2</v>
      </c>
      <c r="E595">
        <v>1.9804813041344592E-2</v>
      </c>
      <c r="F595">
        <v>16506.801371491008</v>
      </c>
    </row>
    <row r="596" spans="1:6" x14ac:dyDescent="0.3">
      <c r="A596">
        <v>0.1</v>
      </c>
      <c r="B596" t="s">
        <v>92</v>
      </c>
      <c r="C596">
        <v>-0.99</v>
      </c>
      <c r="D596">
        <v>-2.6466524123622457</v>
      </c>
      <c r="E596">
        <v>7.2812584717011047E-2</v>
      </c>
      <c r="F596">
        <v>101.3189183486305</v>
      </c>
    </row>
    <row r="597" spans="1:6" x14ac:dyDescent="0.3">
      <c r="A597">
        <v>0.1</v>
      </c>
      <c r="B597" t="s">
        <v>92</v>
      </c>
      <c r="C597">
        <v>-0.98</v>
      </c>
      <c r="D597">
        <v>-2.2975599250672945</v>
      </c>
      <c r="E597">
        <v>7.1785512805719473E-2</v>
      </c>
      <c r="F597">
        <v>116.02615749759619</v>
      </c>
    </row>
    <row r="598" spans="1:6" x14ac:dyDescent="0.3">
      <c r="A598">
        <v>0.1</v>
      </c>
      <c r="B598" t="s">
        <v>92</v>
      </c>
      <c r="C598">
        <v>-0.97</v>
      </c>
      <c r="D598">
        <v>-2.0922957200349388</v>
      </c>
      <c r="E598">
        <v>7.1051594929384954E-2</v>
      </c>
      <c r="F598">
        <v>126.92849864549714</v>
      </c>
    </row>
    <row r="599" spans="1:6" x14ac:dyDescent="0.3">
      <c r="A599">
        <v>0.1</v>
      </c>
      <c r="B599" t="s">
        <v>92</v>
      </c>
      <c r="C599">
        <v>-0.96</v>
      </c>
      <c r="D599">
        <v>-1.9459101490553128</v>
      </c>
      <c r="E599">
        <v>7.0452296012782134E-2</v>
      </c>
      <c r="F599">
        <v>136.08485118947652</v>
      </c>
    </row>
    <row r="600" spans="1:6" x14ac:dyDescent="0.3">
      <c r="A600">
        <v>0.1</v>
      </c>
      <c r="B600" t="s">
        <v>92</v>
      </c>
      <c r="C600">
        <v>-0.95</v>
      </c>
      <c r="D600">
        <v>-1.8317808230648227</v>
      </c>
      <c r="E600">
        <v>6.993233292233153E-2</v>
      </c>
      <c r="F600">
        <v>144.22083548388522</v>
      </c>
    </row>
    <row r="601" spans="1:6" x14ac:dyDescent="0.3">
      <c r="A601">
        <v>0.1</v>
      </c>
      <c r="B601" t="s">
        <v>92</v>
      </c>
      <c r="C601">
        <v>-0.94</v>
      </c>
      <c r="D601">
        <v>-1.7380493449176362</v>
      </c>
      <c r="E601">
        <v>6.9465154298694293E-2</v>
      </c>
      <c r="F601">
        <v>151.68704978502919</v>
      </c>
    </row>
    <row r="602" spans="1:6" x14ac:dyDescent="0.3">
      <c r="A602">
        <v>0.1</v>
      </c>
      <c r="B602" t="s">
        <v>92</v>
      </c>
      <c r="C602">
        <v>-0.93</v>
      </c>
      <c r="D602">
        <v>-1.6583900199247865</v>
      </c>
      <c r="E602">
        <v>6.9035793686322719E-2</v>
      </c>
      <c r="F602">
        <v>158.68303587072677</v>
      </c>
    </row>
    <row r="603" spans="1:6" x14ac:dyDescent="0.3">
      <c r="A603">
        <v>0.1</v>
      </c>
      <c r="B603" t="s">
        <v>92</v>
      </c>
      <c r="C603">
        <v>-0.92</v>
      </c>
      <c r="D603">
        <v>-1.5890269151739731</v>
      </c>
      <c r="E603">
        <v>6.8634847198542875E-2</v>
      </c>
      <c r="F603">
        <v>165.33473617214963</v>
      </c>
    </row>
    <row r="604" spans="1:6" x14ac:dyDescent="0.3">
      <c r="A604">
        <v>0.1</v>
      </c>
      <c r="B604" t="s">
        <v>92</v>
      </c>
      <c r="C604">
        <v>-0.91</v>
      </c>
      <c r="D604">
        <v>-1.5275244253552054</v>
      </c>
      <c r="E604">
        <v>6.8256034232917914E-2</v>
      </c>
      <c r="F604">
        <v>171.72756786903847</v>
      </c>
    </row>
    <row r="605" spans="1:6" x14ac:dyDescent="0.3">
      <c r="A605">
        <v>0.1</v>
      </c>
      <c r="B605" t="s">
        <v>92</v>
      </c>
      <c r="C605">
        <v>-0.9</v>
      </c>
      <c r="D605">
        <v>-1.4722194895832204</v>
      </c>
      <c r="E605">
        <v>6.7894851252181213E-2</v>
      </c>
      <c r="F605">
        <v>177.92270284372088</v>
      </c>
    </row>
    <row r="606" spans="1:6" x14ac:dyDescent="0.3">
      <c r="A606">
        <v>0.1</v>
      </c>
      <c r="B606" t="s">
        <v>92</v>
      </c>
      <c r="C606">
        <v>-0.89</v>
      </c>
      <c r="D606">
        <v>-1.421925871130636</v>
      </c>
      <c r="E606">
        <v>6.7547990130643512E-2</v>
      </c>
      <c r="F606">
        <v>183.96582758500313</v>
      </c>
    </row>
    <row r="607" spans="1:6" x14ac:dyDescent="0.3">
      <c r="A607">
        <v>0.1</v>
      </c>
      <c r="B607" t="s">
        <v>92</v>
      </c>
      <c r="C607">
        <v>-0.88</v>
      </c>
      <c r="D607">
        <v>-1.3757676565209744</v>
      </c>
      <c r="E607">
        <v>6.7212946163061851E-2</v>
      </c>
      <c r="F607">
        <v>189.89226146380318</v>
      </c>
    </row>
    <row r="608" spans="1:6" x14ac:dyDescent="0.3">
      <c r="A608">
        <v>0.1</v>
      </c>
      <c r="B608" t="s">
        <v>92</v>
      </c>
      <c r="C608">
        <v>-0.87</v>
      </c>
      <c r="D608">
        <v>-1.333079629696525</v>
      </c>
      <c r="E608">
        <v>6.6887721601824435E-2</v>
      </c>
      <c r="F608">
        <v>195.7301378514434</v>
      </c>
    </row>
    <row r="609" spans="1:6" x14ac:dyDescent="0.3">
      <c r="A609">
        <v>0.1</v>
      </c>
      <c r="B609" t="s">
        <v>92</v>
      </c>
      <c r="C609">
        <v>-0.86</v>
      </c>
      <c r="D609">
        <v>-1.2933446720489712</v>
      </c>
      <c r="E609">
        <v>6.6570763488522797E-2</v>
      </c>
      <c r="F609">
        <v>201.50240705536032</v>
      </c>
    </row>
    <row r="610" spans="1:6" x14ac:dyDescent="0.3">
      <c r="A610">
        <v>0.1</v>
      </c>
      <c r="B610" t="s">
        <v>92</v>
      </c>
      <c r="C610">
        <v>-0.85</v>
      </c>
      <c r="D610">
        <v>-1.2561528119880574</v>
      </c>
      <c r="E610">
        <v>6.6260772023085307E-2</v>
      </c>
      <c r="F610">
        <v>207.22824379231108</v>
      </c>
    </row>
    <row r="611" spans="1:6" x14ac:dyDescent="0.3">
      <c r="A611">
        <v>0.1</v>
      </c>
      <c r="B611" t="s">
        <v>92</v>
      </c>
      <c r="C611">
        <v>-0.84</v>
      </c>
      <c r="D611">
        <v>-1.2211735176846021</v>
      </c>
      <c r="E611">
        <v>6.595665264577795E-2</v>
      </c>
      <c r="F611">
        <v>212.92399000622248</v>
      </c>
    </row>
    <row r="612" spans="1:6" x14ac:dyDescent="0.3">
      <c r="A612">
        <v>0.1</v>
      </c>
      <c r="B612" t="s">
        <v>92</v>
      </c>
      <c r="C612">
        <v>-0.83</v>
      </c>
      <c r="D612">
        <v>-1.1881364043926024</v>
      </c>
      <c r="E612">
        <v>6.5657526207680811E-2</v>
      </c>
      <c r="F612">
        <v>218.60380418831252</v>
      </c>
    </row>
    <row r="613" spans="1:6" x14ac:dyDescent="0.3">
      <c r="A613">
        <v>0.1</v>
      </c>
      <c r="B613" t="s">
        <v>92</v>
      </c>
      <c r="C613">
        <v>-0.82</v>
      </c>
      <c r="D613">
        <v>-1.1568174645903151</v>
      </c>
      <c r="E613">
        <v>6.5362598916114983E-2</v>
      </c>
      <c r="F613">
        <v>224.28020185001196</v>
      </c>
    </row>
    <row r="614" spans="1:6" x14ac:dyDescent="0.3">
      <c r="A614">
        <v>0.1</v>
      </c>
      <c r="B614" t="s">
        <v>92</v>
      </c>
      <c r="C614">
        <v>-0.81</v>
      </c>
      <c r="D614">
        <v>-1.1270290260496929</v>
      </c>
      <c r="E614">
        <v>6.5071222340221183E-2</v>
      </c>
      <c r="F614">
        <v>229.96438379613099</v>
      </c>
    </row>
    <row r="615" spans="1:6" x14ac:dyDescent="0.3">
      <c r="A615">
        <v>0.1</v>
      </c>
      <c r="B615" t="s">
        <v>92</v>
      </c>
      <c r="C615">
        <v>-0.8</v>
      </c>
      <c r="D615">
        <v>-1.0986122886681098</v>
      </c>
      <c r="E615">
        <v>6.4782801675230678E-2</v>
      </c>
      <c r="F615">
        <v>235.66655486153357</v>
      </c>
    </row>
    <row r="616" spans="1:6" x14ac:dyDescent="0.3">
      <c r="A616">
        <v>0.1</v>
      </c>
      <c r="B616" t="s">
        <v>92</v>
      </c>
      <c r="C616">
        <v>-0.79</v>
      </c>
      <c r="D616">
        <v>-1.0714316840586662</v>
      </c>
      <c r="E616">
        <v>6.4496816767188644E-2</v>
      </c>
      <c r="F616">
        <v>241.39612545881221</v>
      </c>
    </row>
    <row r="617" spans="1:6" x14ac:dyDescent="0.3">
      <c r="A617">
        <v>0.1</v>
      </c>
      <c r="B617" t="s">
        <v>92</v>
      </c>
      <c r="C617">
        <v>-0.78</v>
      </c>
      <c r="D617">
        <v>-1.0453705484668847</v>
      </c>
      <c r="E617">
        <v>6.4212823181010015E-2</v>
      </c>
      <c r="F617">
        <v>247.16187703883259</v>
      </c>
    </row>
    <row r="618" spans="1:6" x14ac:dyDescent="0.3">
      <c r="A618">
        <v>0.1</v>
      </c>
      <c r="B618" t="s">
        <v>92</v>
      </c>
      <c r="C618">
        <v>-0.77</v>
      </c>
      <c r="D618">
        <v>-1.0203277583223398</v>
      </c>
      <c r="E618">
        <v>6.3930392129209992E-2</v>
      </c>
      <c r="F618">
        <v>252.97213092942238</v>
      </c>
    </row>
    <row r="619" spans="1:6" x14ac:dyDescent="0.3">
      <c r="A619">
        <v>0.1</v>
      </c>
      <c r="B619" t="s">
        <v>92</v>
      </c>
      <c r="C619">
        <v>-0.76</v>
      </c>
      <c r="D619">
        <v>-0.99621508234510314</v>
      </c>
      <c r="E619">
        <v>6.3649173063025338E-2</v>
      </c>
      <c r="F619">
        <v>258.83482150440364</v>
      </c>
    </row>
    <row r="620" spans="1:6" x14ac:dyDescent="0.3">
      <c r="A620">
        <v>0.1</v>
      </c>
      <c r="B620" t="s">
        <v>92</v>
      </c>
      <c r="C620">
        <v>-0.75</v>
      </c>
      <c r="D620">
        <v>-0.97295507452765673</v>
      </c>
      <c r="E620">
        <v>6.3368794046432225E-2</v>
      </c>
      <c r="F620">
        <v>264.75764833952508</v>
      </c>
    </row>
    <row r="621" spans="1:6" x14ac:dyDescent="0.3">
      <c r="A621">
        <v>0.1</v>
      </c>
      <c r="B621" t="s">
        <v>92</v>
      </c>
      <c r="C621">
        <v>-0.74</v>
      </c>
      <c r="D621">
        <v>-0.95047938059652348</v>
      </c>
      <c r="E621">
        <v>6.3088939145066289E-2</v>
      </c>
      <c r="F621">
        <v>270.74810704879195</v>
      </c>
    </row>
    <row r="622" spans="1:6" x14ac:dyDescent="0.3">
      <c r="A622">
        <v>0.1</v>
      </c>
      <c r="B622" t="s">
        <v>92</v>
      </c>
      <c r="C622">
        <v>-0.73</v>
      </c>
      <c r="D622">
        <v>-0.92872736424672497</v>
      </c>
      <c r="E622">
        <v>6.280933749245439E-2</v>
      </c>
      <c r="F622">
        <v>276.81356068827364</v>
      </c>
    </row>
    <row r="623" spans="1:6" x14ac:dyDescent="0.3">
      <c r="A623">
        <v>0.1</v>
      </c>
      <c r="B623" t="s">
        <v>92</v>
      </c>
      <c r="C623">
        <v>-0.72</v>
      </c>
      <c r="D623">
        <v>-0.90764498331912458</v>
      </c>
      <c r="E623">
        <v>6.2529703202456419E-2</v>
      </c>
      <c r="F623">
        <v>282.96133887765455</v>
      </c>
    </row>
    <row r="624" spans="1:6" x14ac:dyDescent="0.3">
      <c r="A624">
        <v>0.1</v>
      </c>
      <c r="B624" t="s">
        <v>92</v>
      </c>
      <c r="C624">
        <v>-0.71</v>
      </c>
      <c r="D624">
        <v>-0.88718386325809284</v>
      </c>
      <c r="E624">
        <v>6.2249767448987678E-2</v>
      </c>
      <c r="F624">
        <v>289.19877043101388</v>
      </c>
    </row>
    <row r="625" spans="1:6" x14ac:dyDescent="0.3">
      <c r="A625">
        <v>0.1</v>
      </c>
      <c r="B625" t="s">
        <v>92</v>
      </c>
      <c r="C625">
        <v>-0.7</v>
      </c>
      <c r="D625">
        <v>-0.86730052769405308</v>
      </c>
      <c r="E625">
        <v>6.1969292047764461E-2</v>
      </c>
      <c r="F625">
        <v>295.5332210348235</v>
      </c>
    </row>
    <row r="626" spans="1:6" x14ac:dyDescent="0.3">
      <c r="A626">
        <v>0.1</v>
      </c>
      <c r="B626" t="s">
        <v>92</v>
      </c>
      <c r="C626">
        <v>-0.69</v>
      </c>
      <c r="D626">
        <v>-0.84795575521896349</v>
      </c>
      <c r="E626">
        <v>6.1688034084953297E-2</v>
      </c>
      <c r="F626">
        <v>301.97216367333351</v>
      </c>
    </row>
    <row r="627" spans="1:6" x14ac:dyDescent="0.3">
      <c r="A627">
        <v>0.1</v>
      </c>
      <c r="B627" t="s">
        <v>92</v>
      </c>
      <c r="C627">
        <v>-0.68</v>
      </c>
      <c r="D627">
        <v>-0.82911403830176633</v>
      </c>
      <c r="E627">
        <v>6.1405783606244886E-2</v>
      </c>
      <c r="F627">
        <v>308.52319259383592</v>
      </c>
    </row>
    <row r="628" spans="1:6" x14ac:dyDescent="0.3">
      <c r="A628">
        <v>0.1</v>
      </c>
      <c r="B628" t="s">
        <v>92</v>
      </c>
      <c r="C628">
        <v>-0.67</v>
      </c>
      <c r="D628">
        <v>-0.81074312547513749</v>
      </c>
      <c r="E628">
        <v>6.1122310271310834E-2</v>
      </c>
      <c r="F628">
        <v>315.19410577778649</v>
      </c>
    </row>
    <row r="629" spans="1:6" x14ac:dyDescent="0.3">
      <c r="A629">
        <v>0.1</v>
      </c>
      <c r="B629" t="s">
        <v>92</v>
      </c>
      <c r="C629">
        <v>-0.66</v>
      </c>
      <c r="D629">
        <v>-0.79281363187019105</v>
      </c>
      <c r="E629">
        <v>6.0837408441040589E-2</v>
      </c>
      <c r="F629">
        <v>321.99291017816046</v>
      </c>
    </row>
    <row r="630" spans="1:6" x14ac:dyDescent="0.3">
      <c r="A630">
        <v>0.1</v>
      </c>
      <c r="B630" t="s">
        <v>92</v>
      </c>
      <c r="C630">
        <v>-0.65</v>
      </c>
      <c r="D630">
        <v>-0.7752987062055835</v>
      </c>
      <c r="E630">
        <v>6.0550855409267468E-2</v>
      </c>
      <c r="F630">
        <v>328.92789658016869</v>
      </c>
    </row>
    <row r="631" spans="1:6" x14ac:dyDescent="0.3">
      <c r="A631">
        <v>0.1</v>
      </c>
      <c r="B631" t="s">
        <v>92</v>
      </c>
      <c r="C631">
        <v>-0.64</v>
      </c>
      <c r="D631">
        <v>-0.7581737446840443</v>
      </c>
      <c r="E631">
        <v>6.0262467081147887E-2</v>
      </c>
      <c r="F631">
        <v>336.00763278539114</v>
      </c>
    </row>
    <row r="632" spans="1:6" x14ac:dyDescent="0.3">
      <c r="A632">
        <v>0.1</v>
      </c>
      <c r="B632" t="s">
        <v>92</v>
      </c>
      <c r="C632">
        <v>-0.63</v>
      </c>
      <c r="D632">
        <v>-0.74141614408126888</v>
      </c>
      <c r="E632">
        <v>5.9972026093152359E-2</v>
      </c>
      <c r="F632">
        <v>343.2410683120998</v>
      </c>
    </row>
    <row r="633" spans="1:6" x14ac:dyDescent="0.3">
      <c r="A633">
        <v>0.1</v>
      </c>
      <c r="B633" t="s">
        <v>92</v>
      </c>
      <c r="C633">
        <v>-0.62</v>
      </c>
      <c r="D633">
        <v>-0.72500508775299921</v>
      </c>
      <c r="E633">
        <v>5.9679340901884509E-2</v>
      </c>
      <c r="F633">
        <v>350.63752597874173</v>
      </c>
    </row>
    <row r="634" spans="1:6" x14ac:dyDescent="0.3">
      <c r="A634">
        <v>0.1</v>
      </c>
      <c r="B634" t="s">
        <v>92</v>
      </c>
      <c r="C634">
        <v>-0.61</v>
      </c>
      <c r="D634">
        <v>-0.7089213594274083</v>
      </c>
      <c r="E634">
        <v>5.9384212984253469E-2</v>
      </c>
      <c r="F634">
        <v>358.20677703410587</v>
      </c>
    </row>
    <row r="635" spans="1:6" x14ac:dyDescent="0.3">
      <c r="A635">
        <v>0.1</v>
      </c>
      <c r="B635" t="s">
        <v>92</v>
      </c>
      <c r="C635">
        <v>-0.6</v>
      </c>
      <c r="D635">
        <v>-0.69314718055994529</v>
      </c>
      <c r="E635">
        <v>5.9086446120460157E-2</v>
      </c>
      <c r="F635">
        <v>365.9590813514281</v>
      </c>
    </row>
    <row r="636" spans="1:6" x14ac:dyDescent="0.3">
      <c r="A636">
        <v>0.1</v>
      </c>
      <c r="B636" t="s">
        <v>92</v>
      </c>
      <c r="C636">
        <v>-0.59</v>
      </c>
      <c r="D636">
        <v>-0.67766606775796179</v>
      </c>
      <c r="E636">
        <v>5.8785832333230419E-2</v>
      </c>
      <c r="F636">
        <v>373.9052538911069</v>
      </c>
    </row>
    <row r="637" spans="1:6" x14ac:dyDescent="0.3">
      <c r="A637">
        <v>0.1</v>
      </c>
      <c r="B637" t="s">
        <v>92</v>
      </c>
      <c r="C637">
        <v>-0.57999999999999996</v>
      </c>
      <c r="D637">
        <v>-0.66246270737179924</v>
      </c>
      <c r="E637">
        <v>5.8482168099035878E-2</v>
      </c>
      <c r="F637">
        <v>382.05670453365337</v>
      </c>
    </row>
    <row r="638" spans="1:6" x14ac:dyDescent="0.3">
      <c r="A638">
        <v>0.1</v>
      </c>
      <c r="B638" t="s">
        <v>92</v>
      </c>
      <c r="C638">
        <v>-0.56999999999999995</v>
      </c>
      <c r="D638">
        <v>-0.64752284482737277</v>
      </c>
      <c r="E638">
        <v>5.817524778143264E-2</v>
      </c>
      <c r="F638">
        <v>390.42550487352838</v>
      </c>
    </row>
    <row r="639" spans="1:6" x14ac:dyDescent="0.3">
      <c r="A639">
        <v>0.1</v>
      </c>
      <c r="B639" t="s">
        <v>92</v>
      </c>
      <c r="C639">
        <v>-0.56000000000000005</v>
      </c>
      <c r="D639">
        <v>-0.63283318666563804</v>
      </c>
      <c r="E639">
        <v>5.7864876549851695E-2</v>
      </c>
      <c r="F639">
        <v>399.02443865449868</v>
      </c>
    </row>
    <row r="640" spans="1:6" x14ac:dyDescent="0.3">
      <c r="A640">
        <v>0.1</v>
      </c>
      <c r="B640" t="s">
        <v>92</v>
      </c>
      <c r="C640">
        <v>-0.55000000000000004</v>
      </c>
      <c r="D640">
        <v>-0.61838131357446346</v>
      </c>
      <c r="E640">
        <v>5.7550816630275253E-2</v>
      </c>
      <c r="F640">
        <v>407.86713565256514</v>
      </c>
    </row>
    <row r="641" spans="1:6" x14ac:dyDescent="0.3">
      <c r="A641">
        <v>0.1</v>
      </c>
      <c r="B641" t="s">
        <v>92</v>
      </c>
      <c r="C641">
        <v>-0.54</v>
      </c>
      <c r="D641">
        <v>-0.60415560296226711</v>
      </c>
      <c r="E641">
        <v>5.7232879427066723E-2</v>
      </c>
      <c r="F641">
        <v>416.96804279104367</v>
      </c>
    </row>
    <row r="642" spans="1:6" x14ac:dyDescent="0.3">
      <c r="A642">
        <v>0.1</v>
      </c>
      <c r="B642" t="s">
        <v>92</v>
      </c>
      <c r="C642">
        <v>-0.53</v>
      </c>
      <c r="D642">
        <v>-0.59014515984118854</v>
      </c>
      <c r="E642">
        <v>5.6910835243982973E-2</v>
      </c>
      <c r="F642">
        <v>426.34261619293852</v>
      </c>
    </row>
    <row r="643" spans="1:6" x14ac:dyDescent="0.3">
      <c r="A643">
        <v>0.1</v>
      </c>
      <c r="B643" t="s">
        <v>92</v>
      </c>
      <c r="C643">
        <v>-0.52</v>
      </c>
      <c r="D643">
        <v>-0.57633975496919276</v>
      </c>
      <c r="E643">
        <v>5.6584434502437747E-2</v>
      </c>
      <c r="F643">
        <v>436.00739558869793</v>
      </c>
    </row>
    <row r="644" spans="1:6" x14ac:dyDescent="0.3">
      <c r="A644">
        <v>0.1</v>
      </c>
      <c r="B644" t="s">
        <v>92</v>
      </c>
      <c r="C644">
        <v>-0.51</v>
      </c>
      <c r="D644">
        <v>-0.56272976935214891</v>
      </c>
      <c r="E644">
        <v>5.6253460716064983E-2</v>
      </c>
      <c r="F644">
        <v>445.9800401183187</v>
      </c>
    </row>
    <row r="645" spans="1:6" x14ac:dyDescent="0.3">
      <c r="A645">
        <v>0.1</v>
      </c>
      <c r="B645" t="s">
        <v>92</v>
      </c>
      <c r="C645">
        <v>-0.5</v>
      </c>
      <c r="D645">
        <v>-0.54930614433405489</v>
      </c>
      <c r="E645">
        <v>5.5917661426375789E-2</v>
      </c>
      <c r="F645">
        <v>456.27953524704498</v>
      </c>
    </row>
    <row r="646" spans="1:6" x14ac:dyDescent="0.3">
      <c r="A646">
        <v>0.1</v>
      </c>
      <c r="B646" t="s">
        <v>92</v>
      </c>
      <c r="C646">
        <v>-0.49</v>
      </c>
      <c r="D646">
        <v>-0.53606033661056662</v>
      </c>
      <c r="E646">
        <v>5.557679559279774E-2</v>
      </c>
      <c r="F646">
        <v>466.92626016688877</v>
      </c>
    </row>
    <row r="647" spans="1:6" x14ac:dyDescent="0.3">
      <c r="A647">
        <v>0.1</v>
      </c>
      <c r="B647" t="s">
        <v>92</v>
      </c>
      <c r="C647">
        <v>-0.48</v>
      </c>
      <c r="D647">
        <v>-0.5229842775913438</v>
      </c>
      <c r="E647">
        <v>5.523058510822474E-2</v>
      </c>
      <c r="F647">
        <v>477.94220324340165</v>
      </c>
    </row>
    <row r="648" spans="1:6" x14ac:dyDescent="0.3">
      <c r="A648">
        <v>0.1</v>
      </c>
      <c r="B648" t="s">
        <v>92</v>
      </c>
      <c r="C648">
        <v>-0.47</v>
      </c>
      <c r="D648">
        <v>-0.51007033661330725</v>
      </c>
      <c r="E648">
        <v>5.4878742582758516E-2</v>
      </c>
      <c r="F648">
        <v>489.35108911072206</v>
      </c>
    </row>
    <row r="649" spans="1:6" x14ac:dyDescent="0.3">
      <c r="A649">
        <v>0.1</v>
      </c>
      <c r="B649" t="s">
        <v>92</v>
      </c>
      <c r="C649">
        <v>-0.46</v>
      </c>
      <c r="D649">
        <v>-0.49731128757203097</v>
      </c>
      <c r="E649">
        <v>5.4521015509984859E-2</v>
      </c>
      <c r="F649">
        <v>501.17849005521225</v>
      </c>
    </row>
    <row r="650" spans="1:6" x14ac:dyDescent="0.3">
      <c r="A650">
        <v>0.1</v>
      </c>
      <c r="B650" t="s">
        <v>92</v>
      </c>
      <c r="C650">
        <v>-0.45</v>
      </c>
      <c r="D650">
        <v>-0.48470027859405168</v>
      </c>
      <c r="E650">
        <v>5.4157083825885181E-2</v>
      </c>
      <c r="F650">
        <v>513.4521948659584</v>
      </c>
    </row>
    <row r="651" spans="1:6" x14ac:dyDescent="0.3">
      <c r="A651">
        <v>0.1</v>
      </c>
      <c r="B651" t="s">
        <v>92</v>
      </c>
      <c r="C651">
        <v>-0.44</v>
      </c>
      <c r="D651">
        <v>-0.47223080442042559</v>
      </c>
      <c r="E651">
        <v>5.3786641680476352E-2</v>
      </c>
      <c r="F651">
        <v>526.20231500088744</v>
      </c>
    </row>
    <row r="652" spans="1:6" x14ac:dyDescent="0.3">
      <c r="A652">
        <v>0.1</v>
      </c>
      <c r="B652" t="s">
        <v>92</v>
      </c>
      <c r="C652">
        <v>-0.43</v>
      </c>
      <c r="D652">
        <v>-0.45989668121267852</v>
      </c>
      <c r="E652">
        <v>5.3409368621243646E-2</v>
      </c>
      <c r="F652">
        <v>539.4615946380228</v>
      </c>
    </row>
    <row r="653" spans="1:6" x14ac:dyDescent="0.3">
      <c r="A653">
        <v>0.1</v>
      </c>
      <c r="B653" t="s">
        <v>92</v>
      </c>
      <c r="C653">
        <v>-0.42</v>
      </c>
      <c r="D653">
        <v>-0.4476920235274206</v>
      </c>
      <c r="E653">
        <v>5.3024885185613824E-2</v>
      </c>
      <c r="F653">
        <v>553.2657977237136</v>
      </c>
    </row>
    <row r="654" spans="1:6" x14ac:dyDescent="0.3">
      <c r="A654">
        <v>0.1</v>
      </c>
      <c r="B654" t="s">
        <v>92</v>
      </c>
      <c r="C654">
        <v>-0.41</v>
      </c>
      <c r="D654">
        <v>-0.43561122323622431</v>
      </c>
      <c r="E654">
        <v>5.2632849348822015E-2</v>
      </c>
      <c r="F654">
        <v>567.65387590233627</v>
      </c>
    </row>
    <row r="655" spans="1:6" x14ac:dyDescent="0.3">
      <c r="A655">
        <v>0.1</v>
      </c>
      <c r="B655" t="s">
        <v>92</v>
      </c>
      <c r="C655">
        <v>-0.4</v>
      </c>
      <c r="D655">
        <v>-0.42364893019360178</v>
      </c>
      <c r="E655">
        <v>5.2232876551391978E-2</v>
      </c>
      <c r="F655">
        <v>582.66850771382451</v>
      </c>
    </row>
    <row r="656" spans="1:6" x14ac:dyDescent="0.3">
      <c r="A656">
        <v>0.1</v>
      </c>
      <c r="B656" t="s">
        <v>92</v>
      </c>
      <c r="C656">
        <v>-0.39</v>
      </c>
      <c r="D656">
        <v>-0.41180003447869035</v>
      </c>
      <c r="E656">
        <v>5.1824566158458193E-2</v>
      </c>
      <c r="F656">
        <v>598.35650236546417</v>
      </c>
    </row>
    <row r="657" spans="1:6" x14ac:dyDescent="0.3">
      <c r="A657">
        <v>0.1</v>
      </c>
      <c r="B657" t="s">
        <v>92</v>
      </c>
      <c r="C657">
        <v>-0.38</v>
      </c>
      <c r="D657">
        <v>-0.40005965005605654</v>
      </c>
      <c r="E657">
        <v>5.1407459697189038E-2</v>
      </c>
      <c r="F657">
        <v>614.76941252468555</v>
      </c>
    </row>
    <row r="658" spans="1:6" x14ac:dyDescent="0.3">
      <c r="A658">
        <v>0.1</v>
      </c>
      <c r="B658" t="s">
        <v>92</v>
      </c>
      <c r="C658">
        <v>-0.37</v>
      </c>
      <c r="D658">
        <v>-0.38842309971829614</v>
      </c>
      <c r="E658">
        <v>5.098111777644633E-2</v>
      </c>
      <c r="F658">
        <v>631.96397070338446</v>
      </c>
    </row>
    <row r="659" spans="1:6" x14ac:dyDescent="0.3">
      <c r="A659">
        <v>0.1</v>
      </c>
      <c r="B659" t="s">
        <v>92</v>
      </c>
      <c r="C659">
        <v>-0.36</v>
      </c>
      <c r="D659">
        <v>-0.37688590118819004</v>
      </c>
      <c r="E659">
        <v>5.0545061634075808E-2</v>
      </c>
      <c r="F659">
        <v>650.00290939137687</v>
      </c>
    </row>
    <row r="660" spans="1:6" x14ac:dyDescent="0.3">
      <c r="A660">
        <v>0.1</v>
      </c>
      <c r="B660" t="s">
        <v>92</v>
      </c>
      <c r="C660">
        <v>-0.35</v>
      </c>
      <c r="D660">
        <v>-0.36544375427139619</v>
      </c>
      <c r="E660">
        <v>5.0098734824365977E-2</v>
      </c>
      <c r="F660">
        <v>668.95587796026916</v>
      </c>
    </row>
    <row r="661" spans="1:6" x14ac:dyDescent="0.3">
      <c r="A661">
        <v>0.1</v>
      </c>
      <c r="B661" t="s">
        <v>92</v>
      </c>
      <c r="C661">
        <v>-0.34</v>
      </c>
      <c r="D661">
        <v>-0.35409252896224297</v>
      </c>
      <c r="E661">
        <v>4.9641612027387212E-2</v>
      </c>
      <c r="F661">
        <v>688.90012494145697</v>
      </c>
    </row>
    <row r="662" spans="1:6" x14ac:dyDescent="0.3">
      <c r="A662">
        <v>0.1</v>
      </c>
      <c r="B662" t="s">
        <v>92</v>
      </c>
      <c r="C662">
        <v>-0.33</v>
      </c>
      <c r="D662">
        <v>-0.34282825441539394</v>
      </c>
      <c r="E662">
        <v>4.9173079485635131E-2</v>
      </c>
      <c r="F662">
        <v>709.92191375319578</v>
      </c>
    </row>
    <row r="663" spans="1:6" x14ac:dyDescent="0.3">
      <c r="A663">
        <v>0.1</v>
      </c>
      <c r="B663" t="s">
        <v>92</v>
      </c>
      <c r="C663">
        <v>-0.32</v>
      </c>
      <c r="D663">
        <v>-0.3316471087051322</v>
      </c>
      <c r="E663">
        <v>4.8692496019517119E-2</v>
      </c>
      <c r="F663">
        <v>732.11768876639781</v>
      </c>
    </row>
    <row r="664" spans="1:6" x14ac:dyDescent="0.3">
      <c r="A664">
        <v>0.1</v>
      </c>
      <c r="B664" t="s">
        <v>92</v>
      </c>
      <c r="C664">
        <v>-0.31</v>
      </c>
      <c r="D664">
        <v>-0.32054540930194608</v>
      </c>
      <c r="E664">
        <v>4.8199188727689038E-2</v>
      </c>
      <c r="F664">
        <v>755.59563836401344</v>
      </c>
    </row>
    <row r="665" spans="1:6" x14ac:dyDescent="0.3">
      <c r="A665">
        <v>0.1</v>
      </c>
      <c r="B665" t="s">
        <v>92</v>
      </c>
      <c r="C665">
        <v>-0.3</v>
      </c>
      <c r="D665">
        <v>-0.30951960420311175</v>
      </c>
      <c r="E665">
        <v>4.7692388078075396E-2</v>
      </c>
      <c r="F665">
        <v>780.47775555199962</v>
      </c>
    </row>
    <row r="666" spans="1:6" x14ac:dyDescent="0.3">
      <c r="A666">
        <v>0.1</v>
      </c>
      <c r="B666" t="s">
        <v>92</v>
      </c>
      <c r="C666">
        <v>-0.28999999999999998</v>
      </c>
      <c r="D666">
        <v>-0.29856626366017835</v>
      </c>
      <c r="E666">
        <v>4.7171319824559542E-2</v>
      </c>
      <c r="F666">
        <v>806.90177814658489</v>
      </c>
    </row>
    <row r="667" spans="1:6" x14ac:dyDescent="0.3">
      <c r="A667">
        <v>0.1</v>
      </c>
      <c r="B667" t="s">
        <v>92</v>
      </c>
      <c r="C667">
        <v>-0.28000000000000003</v>
      </c>
      <c r="D667">
        <v>-0.2876820724517809</v>
      </c>
      <c r="E667">
        <v>4.6635096344923153E-2</v>
      </c>
      <c r="F667">
        <v>835.02422181985355</v>
      </c>
    </row>
    <row r="668" spans="1:6" x14ac:dyDescent="0.3">
      <c r="A668">
        <v>0.1</v>
      </c>
      <c r="B668" t="s">
        <v>92</v>
      </c>
      <c r="C668">
        <v>-0.27</v>
      </c>
      <c r="D668">
        <v>-0.27686382265510007</v>
      </c>
      <c r="E668">
        <v>4.6082764468524579E-2</v>
      </c>
      <c r="F668">
        <v>865.02348636557406</v>
      </c>
    </row>
    <row r="669" spans="1:6" x14ac:dyDescent="0.3">
      <c r="A669">
        <v>0.1</v>
      </c>
      <c r="B669" t="s">
        <v>92</v>
      </c>
      <c r="C669">
        <v>-0.26</v>
      </c>
      <c r="D669">
        <v>-0.26610840687365411</v>
      </c>
      <c r="E669">
        <v>4.5513307072246566E-2</v>
      </c>
      <c r="F669">
        <v>897.10380252836774</v>
      </c>
    </row>
    <row r="670" spans="1:6" x14ac:dyDescent="0.3">
      <c r="A670">
        <v>0.1</v>
      </c>
      <c r="B670" t="s">
        <v>92</v>
      </c>
      <c r="C670">
        <v>-0.25</v>
      </c>
      <c r="D670">
        <v>-0.25541281188299536</v>
      </c>
      <c r="E670">
        <v>4.4925587302862488E-2</v>
      </c>
      <c r="F670">
        <v>931.50032060620481</v>
      </c>
    </row>
    <row r="671" spans="1:6" x14ac:dyDescent="0.3">
      <c r="A671">
        <v>0.1</v>
      </c>
      <c r="B671" t="s">
        <v>92</v>
      </c>
      <c r="C671">
        <v>-0.24</v>
      </c>
      <c r="D671">
        <v>-0.24477411265935289</v>
      </c>
      <c r="E671">
        <v>4.4318369502337716E-2</v>
      </c>
      <c r="F671">
        <v>968.48506409146148</v>
      </c>
    </row>
    <row r="672" spans="1:6" x14ac:dyDescent="0.3">
      <c r="A672">
        <v>0.1</v>
      </c>
      <c r="B672" t="s">
        <v>92</v>
      </c>
      <c r="C672">
        <v>-0.23</v>
      </c>
      <c r="D672">
        <v>-0.23418946675936678</v>
      </c>
      <c r="E672">
        <v>4.3690297301295145E-2</v>
      </c>
      <c r="F672">
        <v>1008.3745380109115</v>
      </c>
    </row>
    <row r="673" spans="1:6" x14ac:dyDescent="0.3">
      <c r="A673">
        <v>0.1</v>
      </c>
      <c r="B673" t="s">
        <v>92</v>
      </c>
      <c r="C673">
        <v>-0.22</v>
      </c>
      <c r="D673">
        <v>-0.22365610902183239</v>
      </c>
      <c r="E673">
        <v>4.3039832213519903E-2</v>
      </c>
      <c r="F673">
        <v>1051.5395080851879</v>
      </c>
    </row>
    <row r="674" spans="1:6" x14ac:dyDescent="0.3">
      <c r="A674">
        <v>0.1</v>
      </c>
      <c r="B674" t="s">
        <v>92</v>
      </c>
      <c r="C674">
        <v>-0.21</v>
      </c>
      <c r="D674">
        <v>-0.21317134656485975</v>
      </c>
      <c r="E674">
        <v>4.2365337116557995E-2</v>
      </c>
      <c r="F674">
        <v>1098.4165913813026</v>
      </c>
    </row>
    <row r="675" spans="1:6" x14ac:dyDescent="0.3">
      <c r="A675">
        <v>0.1</v>
      </c>
      <c r="B675" t="s">
        <v>92</v>
      </c>
      <c r="C675">
        <v>-0.2</v>
      </c>
      <c r="D675">
        <v>-0.20273255405408214</v>
      </c>
      <c r="E675">
        <v>4.1664907945033913E-2</v>
      </c>
      <c r="F675">
        <v>1149.5245896492254</v>
      </c>
    </row>
    <row r="676" spans="1:6" x14ac:dyDescent="0.3">
      <c r="A676">
        <v>0.1</v>
      </c>
      <c r="B676" t="s">
        <v>92</v>
      </c>
      <c r="C676">
        <v>-0.19</v>
      </c>
      <c r="D676">
        <v>-0.1923371692195453</v>
      </c>
      <c r="E676">
        <v>4.093646358522212E-2</v>
      </c>
      <c r="F676">
        <v>1205.4840335935232</v>
      </c>
    </row>
    <row r="677" spans="1:6" x14ac:dyDescent="0.3">
      <c r="A677">
        <v>0.1</v>
      </c>
      <c r="B677" t="s">
        <v>92</v>
      </c>
      <c r="C677">
        <v>-0.18</v>
      </c>
      <c r="D677">
        <v>-0.18198268860070579</v>
      </c>
      <c r="E677">
        <v>4.0177656908708358E-2</v>
      </c>
      <c r="F677">
        <v>1267.0439796440401</v>
      </c>
    </row>
    <row r="678" spans="1:6" x14ac:dyDescent="0.3">
      <c r="A678">
        <v>0.1</v>
      </c>
      <c r="B678" t="s">
        <v>92</v>
      </c>
      <c r="C678">
        <v>-0.17</v>
      </c>
      <c r="D678">
        <v>-0.17166666350057908</v>
      </c>
      <c r="E678">
        <v>3.9385767485292163E-2</v>
      </c>
      <c r="F678">
        <v>1335.1178267692328</v>
      </c>
    </row>
    <row r="679" spans="1:6" x14ac:dyDescent="0.3">
      <c r="A679">
        <v>0.1</v>
      </c>
      <c r="B679" t="s">
        <v>92</v>
      </c>
      <c r="C679">
        <v>-0.16</v>
      </c>
      <c r="D679">
        <v>-0.16138669613152551</v>
      </c>
      <c r="E679">
        <v>3.855776231090062E-2</v>
      </c>
      <c r="F679">
        <v>1410.8301845618084</v>
      </c>
    </row>
    <row r="680" spans="1:6" x14ac:dyDescent="0.3">
      <c r="A680">
        <v>0.1</v>
      </c>
      <c r="B680" t="s">
        <v>92</v>
      </c>
      <c r="C680">
        <v>-0.15</v>
      </c>
      <c r="D680">
        <v>-0.15114043593646675</v>
      </c>
      <c r="E680">
        <v>3.769009542792346E-2</v>
      </c>
      <c r="F680">
        <v>1495.5834320881902</v>
      </c>
    </row>
    <row r="681" spans="1:6" x14ac:dyDescent="0.3">
      <c r="A681">
        <v>0.1</v>
      </c>
      <c r="B681" t="s">
        <v>92</v>
      </c>
      <c r="C681">
        <v>-0.14000000000000001</v>
      </c>
      <c r="D681">
        <v>-0.14092557607049394</v>
      </c>
      <c r="E681">
        <v>3.6778679200177751E-2</v>
      </c>
      <c r="F681">
        <v>1591.1489480533962</v>
      </c>
    </row>
    <row r="682" spans="1:6" x14ac:dyDescent="0.3">
      <c r="A682">
        <v>0.1</v>
      </c>
      <c r="B682" t="s">
        <v>92</v>
      </c>
      <c r="C682">
        <v>-0.13</v>
      </c>
      <c r="D682">
        <v>-0.13073985002887836</v>
      </c>
      <c r="E682">
        <v>3.5818684097415482E-2</v>
      </c>
      <c r="F682">
        <v>1699.7989394093263</v>
      </c>
    </row>
    <row r="683" spans="1:6" x14ac:dyDescent="0.3">
      <c r="A683">
        <v>0.1</v>
      </c>
      <c r="B683" t="s">
        <v>92</v>
      </c>
      <c r="C683">
        <v>-0.12</v>
      </c>
      <c r="D683">
        <v>-0.12058102840844405</v>
      </c>
      <c r="E683">
        <v>3.480443289994202E-2</v>
      </c>
      <c r="F683">
        <v>1824.4974114386553</v>
      </c>
    </row>
    <row r="684" spans="1:6" x14ac:dyDescent="0.3">
      <c r="A684">
        <v>0.1</v>
      </c>
      <c r="B684" t="s">
        <v>92</v>
      </c>
      <c r="C684">
        <v>-0.11</v>
      </c>
      <c r="D684">
        <v>-0.1104469157900972</v>
      </c>
      <c r="E684">
        <v>3.3729048085267166E-2</v>
      </c>
      <c r="F684">
        <v>1969.1895538782724</v>
      </c>
    </row>
    <row r="685" spans="1:6" x14ac:dyDescent="0.3">
      <c r="A685">
        <v>0.1</v>
      </c>
      <c r="B685" t="s">
        <v>92</v>
      </c>
      <c r="C685">
        <v>-0.1</v>
      </c>
      <c r="D685">
        <v>-0.10033534773107562</v>
      </c>
      <c r="E685">
        <v>3.258415632191973E-2</v>
      </c>
      <c r="F685">
        <v>2139.2475847439255</v>
      </c>
    </row>
    <row r="686" spans="1:6" x14ac:dyDescent="0.3">
      <c r="A686">
        <v>0.1</v>
      </c>
      <c r="B686" t="s">
        <v>92</v>
      </c>
      <c r="C686">
        <v>-0.09</v>
      </c>
      <c r="D686">
        <v>-9.0244187856146837E-2</v>
      </c>
      <c r="E686">
        <v>3.1359357468976098E-2</v>
      </c>
      <c r="F686">
        <v>2342.1882684461275</v>
      </c>
    </row>
    <row r="687" spans="1:6" x14ac:dyDescent="0.3">
      <c r="A687">
        <v>0.1</v>
      </c>
      <c r="B687" t="s">
        <v>92</v>
      </c>
      <c r="C687">
        <v>-0.08</v>
      </c>
      <c r="D687">
        <v>-8.0171325037589683E-2</v>
      </c>
      <c r="E687">
        <v>3.004140947657423E-2</v>
      </c>
      <c r="F687">
        <v>2588.8770536378256</v>
      </c>
    </row>
    <row r="688" spans="1:6" x14ac:dyDescent="0.3">
      <c r="A688">
        <v>0.1</v>
      </c>
      <c r="B688" t="s">
        <v>92</v>
      </c>
      <c r="C688">
        <v>-7.0000000000000007E-2</v>
      </c>
      <c r="D688">
        <v>-7.0114670654325195E-2</v>
      </c>
      <c r="E688">
        <v>2.8613064084741787E-2</v>
      </c>
      <c r="F688">
        <v>2895.6528118474275</v>
      </c>
    </row>
    <row r="689" spans="1:6" x14ac:dyDescent="0.3">
      <c r="A689">
        <v>0.1</v>
      </c>
      <c r="B689" t="s">
        <v>92</v>
      </c>
      <c r="C689">
        <v>-0.06</v>
      </c>
      <c r="D689">
        <v>-6.007215592103167E-2</v>
      </c>
      <c r="E689">
        <v>2.7050973452355392E-2</v>
      </c>
      <c r="F689">
        <v>3288.3347084691</v>
      </c>
    </row>
    <row r="690" spans="1:6" x14ac:dyDescent="0.3">
      <c r="A690">
        <v>0.1</v>
      </c>
      <c r="B690" t="s">
        <v>92</v>
      </c>
      <c r="C690">
        <v>-0.05</v>
      </c>
      <c r="D690">
        <v>-5.0041729278491327E-2</v>
      </c>
      <c r="E690">
        <v>2.5322220188567553E-2</v>
      </c>
      <c r="F690">
        <v>3810.402467819616</v>
      </c>
    </row>
    <row r="691" spans="1:6" x14ac:dyDescent="0.3">
      <c r="A691">
        <v>0.1</v>
      </c>
      <c r="B691" t="s">
        <v>92</v>
      </c>
      <c r="C691">
        <v>-0.04</v>
      </c>
      <c r="D691">
        <v>-4.0021353836768248E-2</v>
      </c>
      <c r="E691">
        <v>2.3377512691593477E-2</v>
      </c>
      <c r="F691">
        <v>4541.6001742719427</v>
      </c>
    </row>
    <row r="692" spans="1:6" x14ac:dyDescent="0.3">
      <c r="A692">
        <v>0.1</v>
      </c>
      <c r="B692" t="s">
        <v>92</v>
      </c>
      <c r="C692">
        <v>-0.03</v>
      </c>
      <c r="D692">
        <v>-3.000900486312652E-2</v>
      </c>
      <c r="E692">
        <v>2.1136563783575046E-2</v>
      </c>
      <c r="F692">
        <v>5646.9958585343857</v>
      </c>
    </row>
    <row r="693" spans="1:6" x14ac:dyDescent="0.3">
      <c r="A693">
        <v>0.1</v>
      </c>
      <c r="B693" t="s">
        <v>92</v>
      </c>
      <c r="C693">
        <v>-0.02</v>
      </c>
      <c r="D693">
        <v>-2.0002667306849624E-2</v>
      </c>
      <c r="E693">
        <v>1.8450386719998553E-2</v>
      </c>
      <c r="F693">
        <v>7538.7364950061565</v>
      </c>
    </row>
    <row r="694" spans="1:6" x14ac:dyDescent="0.3">
      <c r="A694">
        <v>0.1</v>
      </c>
      <c r="B694" t="s">
        <v>92</v>
      </c>
      <c r="C694">
        <v>-0.01</v>
      </c>
      <c r="D694">
        <v>-1.0000333353334771E-2</v>
      </c>
      <c r="E694">
        <v>1.4968940688510721E-2</v>
      </c>
      <c r="F694">
        <v>11665.591305278214</v>
      </c>
    </row>
    <row r="695" spans="1:6" x14ac:dyDescent="0.3">
      <c r="A695">
        <v>0.05</v>
      </c>
      <c r="B695" t="s">
        <v>92</v>
      </c>
      <c r="C695">
        <v>-0.99</v>
      </c>
      <c r="D695">
        <v>-2.6466524123622457</v>
      </c>
      <c r="E695">
        <v>8.698736027948252E-2</v>
      </c>
      <c r="F695">
        <v>98.672755454283745</v>
      </c>
    </row>
    <row r="696" spans="1:6" x14ac:dyDescent="0.3">
      <c r="A696">
        <v>0.05</v>
      </c>
      <c r="B696" t="s">
        <v>92</v>
      </c>
      <c r="C696">
        <v>-0.98</v>
      </c>
      <c r="D696">
        <v>-2.2975599250672945</v>
      </c>
      <c r="E696">
        <v>8.5790129627009451E-2</v>
      </c>
      <c r="F696">
        <v>112.94109236315407</v>
      </c>
    </row>
    <row r="697" spans="1:6" x14ac:dyDescent="0.3">
      <c r="A697">
        <v>0.05</v>
      </c>
      <c r="B697" t="s">
        <v>92</v>
      </c>
      <c r="C697">
        <v>-0.97</v>
      </c>
      <c r="D697">
        <v>-2.0922957200349388</v>
      </c>
      <c r="E697">
        <v>8.4934418162318129E-2</v>
      </c>
      <c r="F697">
        <v>123.5112206638745</v>
      </c>
    </row>
    <row r="698" spans="1:6" x14ac:dyDescent="0.3">
      <c r="A698">
        <v>0.05</v>
      </c>
      <c r="B698" t="s">
        <v>92</v>
      </c>
      <c r="C698">
        <v>-0.96</v>
      </c>
      <c r="D698">
        <v>-1.9459101490553128</v>
      </c>
      <c r="E698">
        <v>8.4235539006484131E-2</v>
      </c>
      <c r="F698">
        <v>132.38411335558084</v>
      </c>
    </row>
    <row r="699" spans="1:6" x14ac:dyDescent="0.3">
      <c r="A699">
        <v>0.05</v>
      </c>
      <c r="B699" t="s">
        <v>92</v>
      </c>
      <c r="C699">
        <v>-0.95</v>
      </c>
      <c r="D699">
        <v>-1.8317808230648227</v>
      </c>
      <c r="E699">
        <v>8.3629049092358729E-2</v>
      </c>
      <c r="F699">
        <v>140.26486299302908</v>
      </c>
    </row>
    <row r="700" spans="1:6" x14ac:dyDescent="0.3">
      <c r="A700">
        <v>0.05</v>
      </c>
      <c r="B700" t="s">
        <v>92</v>
      </c>
      <c r="C700">
        <v>-0.94</v>
      </c>
      <c r="D700">
        <v>-1.7380493449176362</v>
      </c>
      <c r="E700">
        <v>8.3084086624016007E-2</v>
      </c>
      <c r="F700">
        <v>147.49407915780694</v>
      </c>
    </row>
    <row r="701" spans="1:6" x14ac:dyDescent="0.3">
      <c r="A701">
        <v>0.05</v>
      </c>
      <c r="B701" t="s">
        <v>92</v>
      </c>
      <c r="C701">
        <v>-0.93</v>
      </c>
      <c r="D701">
        <v>-1.6583900199247865</v>
      </c>
      <c r="E701">
        <v>8.2583152399467674E-2</v>
      </c>
      <c r="F701">
        <v>154.26561816173322</v>
      </c>
    </row>
    <row r="702" spans="1:6" x14ac:dyDescent="0.3">
      <c r="A702">
        <v>0.05</v>
      </c>
      <c r="B702" t="s">
        <v>92</v>
      </c>
      <c r="C702">
        <v>-0.92</v>
      </c>
      <c r="D702">
        <v>-1.5890269151739731</v>
      </c>
      <c r="E702">
        <v>8.211533731529834E-2</v>
      </c>
      <c r="F702">
        <v>160.7017890228897</v>
      </c>
    </row>
    <row r="703" spans="1:6" x14ac:dyDescent="0.3">
      <c r="A703">
        <v>0.05</v>
      </c>
      <c r="B703" t="s">
        <v>92</v>
      </c>
      <c r="C703">
        <v>-0.91</v>
      </c>
      <c r="D703">
        <v>-1.5275244253552054</v>
      </c>
      <c r="E703">
        <v>8.1673277511850828E-2</v>
      </c>
      <c r="F703">
        <v>166.88555060602624</v>
      </c>
    </row>
    <row r="704" spans="1:6" x14ac:dyDescent="0.3">
      <c r="A704">
        <v>0.05</v>
      </c>
      <c r="B704" t="s">
        <v>92</v>
      </c>
      <c r="C704">
        <v>-0.9</v>
      </c>
      <c r="D704">
        <v>-1.4722194895832204</v>
      </c>
      <c r="E704">
        <v>8.1251752212573511E-2</v>
      </c>
      <c r="F704">
        <v>172.87628279913287</v>
      </c>
    </row>
    <row r="705" spans="1:6" x14ac:dyDescent="0.3">
      <c r="A705">
        <v>0.05</v>
      </c>
      <c r="B705" t="s">
        <v>92</v>
      </c>
      <c r="C705">
        <v>-0.89</v>
      </c>
      <c r="D705">
        <v>-1.421925871130636</v>
      </c>
      <c r="E705">
        <v>8.0846926139371153E-2</v>
      </c>
      <c r="F705">
        <v>178.71831804081862</v>
      </c>
    </row>
    <row r="706" spans="1:6" x14ac:dyDescent="0.3">
      <c r="A706">
        <v>0.05</v>
      </c>
      <c r="B706" t="s">
        <v>92</v>
      </c>
      <c r="C706">
        <v>-0.88</v>
      </c>
      <c r="D706">
        <v>-1.3757676565209744</v>
      </c>
      <c r="E706">
        <v>8.045582346150508E-2</v>
      </c>
      <c r="F706">
        <v>184.44594306379511</v>
      </c>
    </row>
    <row r="707" spans="1:6" x14ac:dyDescent="0.3">
      <c r="A707">
        <v>0.05</v>
      </c>
      <c r="B707" t="s">
        <v>92</v>
      </c>
      <c r="C707">
        <v>-0.87</v>
      </c>
      <c r="D707">
        <v>-1.333079629696525</v>
      </c>
      <c r="E707">
        <v>8.0076176742471764E-2</v>
      </c>
      <c r="F707">
        <v>190.08641742167103</v>
      </c>
    </row>
    <row r="708" spans="1:6" x14ac:dyDescent="0.3">
      <c r="A708">
        <v>0.05</v>
      </c>
      <c r="B708" t="s">
        <v>92</v>
      </c>
      <c r="C708">
        <v>-0.86</v>
      </c>
      <c r="D708">
        <v>-1.2933446720489712</v>
      </c>
      <c r="E708">
        <v>7.9706129012504554E-2</v>
      </c>
      <c r="F708">
        <v>195.66200241501971</v>
      </c>
    </row>
    <row r="709" spans="1:6" x14ac:dyDescent="0.3">
      <c r="A709">
        <v>0.05</v>
      </c>
      <c r="B709" t="s">
        <v>92</v>
      </c>
      <c r="C709">
        <v>-0.85</v>
      </c>
      <c r="D709">
        <v>-1.2561528119880574</v>
      </c>
      <c r="E709">
        <v>7.9344179167418163E-2</v>
      </c>
      <c r="F709">
        <v>201.19126650163489</v>
      </c>
    </row>
    <row r="710" spans="1:6" x14ac:dyDescent="0.3">
      <c r="A710">
        <v>0.05</v>
      </c>
      <c r="B710" t="s">
        <v>92</v>
      </c>
      <c r="C710">
        <v>-0.84</v>
      </c>
      <c r="D710">
        <v>-1.2211735176846021</v>
      </c>
      <c r="E710">
        <v>7.8989069916352087E-2</v>
      </c>
      <c r="F710">
        <v>206.69002125059396</v>
      </c>
    </row>
    <row r="711" spans="1:6" x14ac:dyDescent="0.3">
      <c r="A711">
        <v>0.05</v>
      </c>
      <c r="B711" t="s">
        <v>92</v>
      </c>
      <c r="C711">
        <v>-0.83</v>
      </c>
      <c r="D711">
        <v>-1.1881364043926024</v>
      </c>
      <c r="E711">
        <v>7.8639760631345812E-2</v>
      </c>
      <c r="F711">
        <v>212.17196568667592</v>
      </c>
    </row>
    <row r="712" spans="1:6" x14ac:dyDescent="0.3">
      <c r="A712">
        <v>0.05</v>
      </c>
      <c r="B712" t="s">
        <v>92</v>
      </c>
      <c r="C712">
        <v>-0.82</v>
      </c>
      <c r="D712">
        <v>-1.1568174645903151</v>
      </c>
      <c r="E712">
        <v>7.8295332707683657E-2</v>
      </c>
      <c r="F712">
        <v>217.64919269529017</v>
      </c>
    </row>
    <row r="713" spans="1:6" x14ac:dyDescent="0.3">
      <c r="A713">
        <v>0.05</v>
      </c>
      <c r="B713" t="s">
        <v>92</v>
      </c>
      <c r="C713">
        <v>-0.81</v>
      </c>
      <c r="D713">
        <v>-1.1270290260496929</v>
      </c>
      <c r="E713">
        <v>7.7955007676233035E-2</v>
      </c>
      <c r="F713">
        <v>223.13252567371964</v>
      </c>
    </row>
    <row r="714" spans="1:6" x14ac:dyDescent="0.3">
      <c r="A714">
        <v>0.05</v>
      </c>
      <c r="B714" t="s">
        <v>92</v>
      </c>
      <c r="C714">
        <v>-0.8</v>
      </c>
      <c r="D714">
        <v>-1.0986122886681098</v>
      </c>
      <c r="E714">
        <v>7.7618118553118662E-2</v>
      </c>
      <c r="F714">
        <v>228.63179410256618</v>
      </c>
    </row>
    <row r="715" spans="1:6" x14ac:dyDescent="0.3">
      <c r="A715">
        <v>0.05</v>
      </c>
      <c r="B715" t="s">
        <v>92</v>
      </c>
      <c r="C715">
        <v>-0.79</v>
      </c>
      <c r="D715">
        <v>-1.0714316840586662</v>
      </c>
      <c r="E715">
        <v>7.7284058938567615E-2</v>
      </c>
      <c r="F715">
        <v>234.1560638384602</v>
      </c>
    </row>
    <row r="716" spans="1:6" x14ac:dyDescent="0.3">
      <c r="A716">
        <v>0.05</v>
      </c>
      <c r="B716" t="s">
        <v>92</v>
      </c>
      <c r="C716">
        <v>-0.78</v>
      </c>
      <c r="D716">
        <v>-1.0453705484668847</v>
      </c>
      <c r="E716">
        <v>7.6952287500396496E-2</v>
      </c>
      <c r="F716">
        <v>239.71379654684696</v>
      </c>
    </row>
    <row r="717" spans="1:6" x14ac:dyDescent="0.3">
      <c r="A717">
        <v>0.05</v>
      </c>
      <c r="B717" t="s">
        <v>92</v>
      </c>
      <c r="C717">
        <v>-0.77</v>
      </c>
      <c r="D717">
        <v>-1.0203277583223398</v>
      </c>
      <c r="E717">
        <v>7.6622325151389559E-2</v>
      </c>
      <c r="F717">
        <v>245.31298027627699</v>
      </c>
    </row>
    <row r="718" spans="1:6" x14ac:dyDescent="0.3">
      <c r="A718">
        <v>0.05</v>
      </c>
      <c r="B718" t="s">
        <v>92</v>
      </c>
      <c r="C718">
        <v>-0.76</v>
      </c>
      <c r="D718">
        <v>-0.99621508234510314</v>
      </c>
      <c r="E718">
        <v>7.6293730986163849E-2</v>
      </c>
      <c r="F718">
        <v>250.96124883195881</v>
      </c>
    </row>
    <row r="719" spans="1:6" x14ac:dyDescent="0.3">
      <c r="A719">
        <v>0.05</v>
      </c>
      <c r="B719" t="s">
        <v>92</v>
      </c>
      <c r="C719">
        <v>-0.75</v>
      </c>
      <c r="D719">
        <v>-0.97295507452765673</v>
      </c>
      <c r="E719">
        <v>7.5966113790730844E-2</v>
      </c>
      <c r="F719">
        <v>256.66596269066639</v>
      </c>
    </row>
    <row r="720" spans="1:6" x14ac:dyDescent="0.3">
      <c r="A720">
        <v>0.05</v>
      </c>
      <c r="B720" t="s">
        <v>92</v>
      </c>
      <c r="C720">
        <v>-0.74</v>
      </c>
      <c r="D720">
        <v>-0.95047938059652348</v>
      </c>
      <c r="E720">
        <v>7.5639100813875967E-2</v>
      </c>
      <c r="F720">
        <v>262.43430236436222</v>
      </c>
    </row>
    <row r="721" spans="1:6" x14ac:dyDescent="0.3">
      <c r="A721">
        <v>0.05</v>
      </c>
      <c r="B721" t="s">
        <v>92</v>
      </c>
      <c r="C721">
        <v>-0.73</v>
      </c>
      <c r="D721">
        <v>-0.92872736424672497</v>
      </c>
      <c r="E721">
        <v>7.5312338207419102E-2</v>
      </c>
      <c r="F721">
        <v>268.27333322649196</v>
      </c>
    </row>
    <row r="722" spans="1:6" x14ac:dyDescent="0.3">
      <c r="A722">
        <v>0.05</v>
      </c>
      <c r="B722" t="s">
        <v>92</v>
      </c>
      <c r="C722">
        <v>-0.72</v>
      </c>
      <c r="D722">
        <v>-0.90764498331912458</v>
      </c>
      <c r="E722">
        <v>7.4985502673900598E-2</v>
      </c>
      <c r="F722">
        <v>274.19005424735735</v>
      </c>
    </row>
    <row r="723" spans="1:6" x14ac:dyDescent="0.3">
      <c r="A723">
        <v>0.05</v>
      </c>
      <c r="B723" t="s">
        <v>92</v>
      </c>
      <c r="C723">
        <v>-0.71</v>
      </c>
      <c r="D723">
        <v>-0.88718386325809284</v>
      </c>
      <c r="E723">
        <v>7.4658304411885937E-2</v>
      </c>
      <c r="F723">
        <v>280.19144517376236</v>
      </c>
    </row>
    <row r="724" spans="1:6" x14ac:dyDescent="0.3">
      <c r="A724">
        <v>0.05</v>
      </c>
      <c r="B724" t="s">
        <v>92</v>
      </c>
      <c r="C724">
        <v>-0.7</v>
      </c>
      <c r="D724">
        <v>-0.86730052769405308</v>
      </c>
      <c r="E724">
        <v>7.4330462285398691E-2</v>
      </c>
      <c r="F724">
        <v>286.28452895060241</v>
      </c>
    </row>
    <row r="725" spans="1:6" x14ac:dyDescent="0.3">
      <c r="A725">
        <v>0.05</v>
      </c>
      <c r="B725" t="s">
        <v>92</v>
      </c>
      <c r="C725">
        <v>-0.69</v>
      </c>
      <c r="D725">
        <v>-0.84795575521896349</v>
      </c>
      <c r="E725">
        <v>7.4001679925884883E-2</v>
      </c>
      <c r="F725">
        <v>292.47643307611906</v>
      </c>
    </row>
    <row r="726" spans="1:6" x14ac:dyDescent="0.3">
      <c r="A726">
        <v>0.05</v>
      </c>
      <c r="B726" t="s">
        <v>92</v>
      </c>
      <c r="C726">
        <v>-0.68</v>
      </c>
      <c r="D726">
        <v>-0.82911403830176633</v>
      </c>
      <c r="E726">
        <v>7.3671694291855785E-2</v>
      </c>
      <c r="F726">
        <v>298.77439498055764</v>
      </c>
    </row>
    <row r="727" spans="1:6" x14ac:dyDescent="0.3">
      <c r="A727">
        <v>0.05</v>
      </c>
      <c r="B727" t="s">
        <v>92</v>
      </c>
      <c r="C727">
        <v>-0.67</v>
      </c>
      <c r="D727">
        <v>-0.81074312547513749</v>
      </c>
      <c r="E727">
        <v>7.3340266865759132E-2</v>
      </c>
      <c r="F727">
        <v>305.18580539910852</v>
      </c>
    </row>
    <row r="728" spans="1:6" x14ac:dyDescent="0.3">
      <c r="A728">
        <v>0.05</v>
      </c>
      <c r="B728" t="s">
        <v>92</v>
      </c>
      <c r="C728">
        <v>-0.66</v>
      </c>
      <c r="D728">
        <v>-0.79281363187019105</v>
      </c>
      <c r="E728">
        <v>7.3007134901310985E-2</v>
      </c>
      <c r="F728">
        <v>311.71828510253789</v>
      </c>
    </row>
    <row r="729" spans="1:6" x14ac:dyDescent="0.3">
      <c r="A729">
        <v>0.05</v>
      </c>
      <c r="B729" t="s">
        <v>92</v>
      </c>
      <c r="C729">
        <v>-0.65</v>
      </c>
      <c r="D729">
        <v>-0.7752987062055835</v>
      </c>
      <c r="E729">
        <v>7.2672060924128257E-2</v>
      </c>
      <c r="F729">
        <v>318.37968426398993</v>
      </c>
    </row>
    <row r="730" spans="1:6" x14ac:dyDescent="0.3">
      <c r="A730">
        <v>0.05</v>
      </c>
      <c r="B730" t="s">
        <v>92</v>
      </c>
      <c r="C730">
        <v>-0.64</v>
      </c>
      <c r="D730">
        <v>-0.7581737446840443</v>
      </c>
      <c r="E730">
        <v>7.2334819152510832E-2</v>
      </c>
      <c r="F730">
        <v>325.17813044132146</v>
      </c>
    </row>
    <row r="731" spans="1:6" x14ac:dyDescent="0.3">
      <c r="A731">
        <v>0.05</v>
      </c>
      <c r="B731" t="s">
        <v>92</v>
      </c>
      <c r="C731">
        <v>-0.63</v>
      </c>
      <c r="D731">
        <v>-0.74141614408126888</v>
      </c>
      <c r="E731">
        <v>7.1995146362635903E-2</v>
      </c>
      <c r="F731">
        <v>332.12211171263408</v>
      </c>
    </row>
    <row r="732" spans="1:6" x14ac:dyDescent="0.3">
      <c r="A732">
        <v>0.05</v>
      </c>
      <c r="B732" t="s">
        <v>92</v>
      </c>
      <c r="C732">
        <v>-0.62</v>
      </c>
      <c r="D732">
        <v>-0.72500508775299921</v>
      </c>
      <c r="E732">
        <v>7.1652822272956482E-2</v>
      </c>
      <c r="F732">
        <v>339.22044764234846</v>
      </c>
    </row>
    <row r="733" spans="1:6" x14ac:dyDescent="0.3">
      <c r="A733">
        <v>0.05</v>
      </c>
      <c r="B733" t="s">
        <v>92</v>
      </c>
      <c r="C733">
        <v>-0.61</v>
      </c>
      <c r="D733">
        <v>-0.7089213594274083</v>
      </c>
      <c r="E733">
        <v>7.1307614047656995E-2</v>
      </c>
      <c r="F733">
        <v>346.48238020685682</v>
      </c>
    </row>
    <row r="734" spans="1:6" x14ac:dyDescent="0.3">
      <c r="A734">
        <v>0.05</v>
      </c>
      <c r="B734" t="s">
        <v>92</v>
      </c>
      <c r="C734">
        <v>-0.6</v>
      </c>
      <c r="D734">
        <v>-0.69314718055994529</v>
      </c>
      <c r="E734">
        <v>7.0959296058095631E-2</v>
      </c>
      <c r="F734">
        <v>353.91760131919864</v>
      </c>
    </row>
    <row r="735" spans="1:6" x14ac:dyDescent="0.3">
      <c r="A735">
        <v>0.05</v>
      </c>
      <c r="B735" t="s">
        <v>92</v>
      </c>
      <c r="C735">
        <v>-0.59</v>
      </c>
      <c r="D735">
        <v>-0.67766606775796179</v>
      </c>
      <c r="E735">
        <v>7.060761438131552E-2</v>
      </c>
      <c r="F735">
        <v>361.53633661295157</v>
      </c>
    </row>
    <row r="736" spans="1:6" x14ac:dyDescent="0.3">
      <c r="A736">
        <v>0.05</v>
      </c>
      <c r="B736" t="s">
        <v>92</v>
      </c>
      <c r="C736">
        <v>-0.57999999999999996</v>
      </c>
      <c r="D736">
        <v>-0.66246270737179924</v>
      </c>
      <c r="E736">
        <v>7.0252344885394433E-2</v>
      </c>
      <c r="F736">
        <v>369.34934001082513</v>
      </c>
    </row>
    <row r="737" spans="1:6" x14ac:dyDescent="0.3">
      <c r="A737">
        <v>0.05</v>
      </c>
      <c r="B737" t="s">
        <v>92</v>
      </c>
      <c r="C737">
        <v>-0.56999999999999995</v>
      </c>
      <c r="D737">
        <v>-0.64752284482737277</v>
      </c>
      <c r="E737">
        <v>6.9893244253754969E-2</v>
      </c>
      <c r="F737">
        <v>377.36799837407045</v>
      </c>
    </row>
    <row r="738" spans="1:6" x14ac:dyDescent="0.3">
      <c r="A738">
        <v>0.05</v>
      </c>
      <c r="B738" t="s">
        <v>92</v>
      </c>
      <c r="C738">
        <v>-0.56000000000000005</v>
      </c>
      <c r="D738">
        <v>-0.63283318666563804</v>
      </c>
      <c r="E738">
        <v>6.9530063607013456E-2</v>
      </c>
      <c r="F738">
        <v>385.60437970351592</v>
      </c>
    </row>
    <row r="739" spans="1:6" x14ac:dyDescent="0.3">
      <c r="A739">
        <v>0.05</v>
      </c>
      <c r="B739" t="s">
        <v>92</v>
      </c>
      <c r="C739">
        <v>-0.55000000000000004</v>
      </c>
      <c r="D739">
        <v>-0.61838131357446346</v>
      </c>
      <c r="E739">
        <v>6.9162555360407954E-2</v>
      </c>
      <c r="F739">
        <v>394.07129194716811</v>
      </c>
    </row>
    <row r="740" spans="1:6" x14ac:dyDescent="0.3">
      <c r="A740">
        <v>0.05</v>
      </c>
      <c r="B740" t="s">
        <v>92</v>
      </c>
      <c r="C740">
        <v>-0.54</v>
      </c>
      <c r="D740">
        <v>-0.60415560296226711</v>
      </c>
      <c r="E740">
        <v>6.8790473945192401E-2</v>
      </c>
      <c r="F740">
        <v>402.78235384642778</v>
      </c>
    </row>
    <row r="741" spans="1:6" x14ac:dyDescent="0.3">
      <c r="A741">
        <v>0.05</v>
      </c>
      <c r="B741" t="s">
        <v>92</v>
      </c>
      <c r="C741">
        <v>-0.53</v>
      </c>
      <c r="D741">
        <v>-0.59014515984118854</v>
      </c>
      <c r="E741">
        <v>6.841353674813283E-2</v>
      </c>
      <c r="F741">
        <v>411.75212210710157</v>
      </c>
    </row>
    <row r="742" spans="1:6" x14ac:dyDescent="0.3">
      <c r="A742">
        <v>0.05</v>
      </c>
      <c r="B742" t="s">
        <v>92</v>
      </c>
      <c r="C742">
        <v>-0.52</v>
      </c>
      <c r="D742">
        <v>-0.57633975496919276</v>
      </c>
      <c r="E742">
        <v>6.8031512721337326E-2</v>
      </c>
      <c r="F742">
        <v>420.99607177917949</v>
      </c>
    </row>
    <row r="743" spans="1:6" x14ac:dyDescent="0.3">
      <c r="A743">
        <v>0.05</v>
      </c>
      <c r="B743" t="s">
        <v>92</v>
      </c>
      <c r="C743">
        <v>-0.51</v>
      </c>
      <c r="D743">
        <v>-0.56272976935214891</v>
      </c>
      <c r="E743">
        <v>6.7644070552895508E-2</v>
      </c>
      <c r="F743">
        <v>430.53088369911757</v>
      </c>
    </row>
    <row r="744" spans="1:6" x14ac:dyDescent="0.3">
      <c r="A744">
        <v>0.05</v>
      </c>
      <c r="B744" t="s">
        <v>92</v>
      </c>
      <c r="C744">
        <v>-0.5</v>
      </c>
      <c r="D744">
        <v>-0.54930614433405489</v>
      </c>
      <c r="E744">
        <v>6.7250962680984627E-2</v>
      </c>
      <c r="F744">
        <v>440.37431976768875</v>
      </c>
    </row>
    <row r="745" spans="1:6" x14ac:dyDescent="0.3">
      <c r="A745">
        <v>0.05</v>
      </c>
      <c r="B745" t="s">
        <v>92</v>
      </c>
      <c r="C745">
        <v>-0.49</v>
      </c>
      <c r="D745">
        <v>-0.53606033661056662</v>
      </c>
      <c r="E745">
        <v>6.6851879009652351E-2</v>
      </c>
      <c r="F745">
        <v>450.54553110795683</v>
      </c>
    </row>
    <row r="746" spans="1:6" x14ac:dyDescent="0.3">
      <c r="A746">
        <v>0.05</v>
      </c>
      <c r="B746" t="s">
        <v>92</v>
      </c>
      <c r="C746">
        <v>-0.48</v>
      </c>
      <c r="D746">
        <v>-0.5229842775913438</v>
      </c>
      <c r="E746">
        <v>6.6446513475149085E-2</v>
      </c>
      <c r="F746">
        <v>461.0651069532999</v>
      </c>
    </row>
    <row r="747" spans="1:6" x14ac:dyDescent="0.3">
      <c r="A747">
        <v>0.05</v>
      </c>
      <c r="B747" t="s">
        <v>92</v>
      </c>
      <c r="C747">
        <v>-0.47</v>
      </c>
      <c r="D747">
        <v>-0.51007033661330725</v>
      </c>
      <c r="E747">
        <v>6.6034534618130927E-2</v>
      </c>
      <c r="F747">
        <v>471.95526688230098</v>
      </c>
    </row>
    <row r="748" spans="1:6" x14ac:dyDescent="0.3">
      <c r="A748">
        <v>0.05</v>
      </c>
      <c r="B748" t="s">
        <v>92</v>
      </c>
      <c r="C748">
        <v>-0.46</v>
      </c>
      <c r="D748">
        <v>-0.49731128757203097</v>
      </c>
      <c r="E748">
        <v>6.561563054872338E-2</v>
      </c>
      <c r="F748">
        <v>483.2399626218222</v>
      </c>
    </row>
    <row r="749" spans="1:6" x14ac:dyDescent="0.3">
      <c r="A749">
        <v>0.05</v>
      </c>
      <c r="B749" t="s">
        <v>92</v>
      </c>
      <c r="C749">
        <v>-0.45</v>
      </c>
      <c r="D749">
        <v>-0.48470027859405168</v>
      </c>
      <c r="E749">
        <v>6.5189407285947659E-2</v>
      </c>
      <c r="F749">
        <v>494.94522655663337</v>
      </c>
    </row>
    <row r="750" spans="1:6" x14ac:dyDescent="0.3">
      <c r="A750">
        <v>0.05</v>
      </c>
      <c r="B750" t="s">
        <v>92</v>
      </c>
      <c r="C750">
        <v>-0.44</v>
      </c>
      <c r="D750">
        <v>-0.47223080442042559</v>
      </c>
      <c r="E750">
        <v>6.4755524669840303E-2</v>
      </c>
      <c r="F750">
        <v>507.09917548147769</v>
      </c>
    </row>
    <row r="751" spans="1:6" x14ac:dyDescent="0.3">
      <c r="A751">
        <v>0.05</v>
      </c>
      <c r="B751" t="s">
        <v>92</v>
      </c>
      <c r="C751">
        <v>-0.43</v>
      </c>
      <c r="D751">
        <v>-0.45989668121267852</v>
      </c>
      <c r="E751">
        <v>6.4313595103667159E-2</v>
      </c>
      <c r="F751">
        <v>519.73241246614884</v>
      </c>
    </row>
    <row r="752" spans="1:6" x14ac:dyDescent="0.3">
      <c r="A752">
        <v>0.05</v>
      </c>
      <c r="B752" t="s">
        <v>92</v>
      </c>
      <c r="C752">
        <v>-0.42</v>
      </c>
      <c r="D752">
        <v>-0.4476920235274206</v>
      </c>
      <c r="E752">
        <v>6.3863210555372113E-2</v>
      </c>
      <c r="F752">
        <v>532.87826356697838</v>
      </c>
    </row>
    <row r="753" spans="1:6" x14ac:dyDescent="0.3">
      <c r="A753">
        <v>0.05</v>
      </c>
      <c r="B753" t="s">
        <v>92</v>
      </c>
      <c r="C753">
        <v>-0.41</v>
      </c>
      <c r="D753">
        <v>-0.43561122323622431</v>
      </c>
      <c r="E753">
        <v>6.3403916338033772E-2</v>
      </c>
      <c r="F753">
        <v>546.57314410010611</v>
      </c>
    </row>
    <row r="754" spans="1:6" x14ac:dyDescent="0.3">
      <c r="A754">
        <v>0.05</v>
      </c>
      <c r="B754" t="s">
        <v>92</v>
      </c>
      <c r="C754">
        <v>-0.4</v>
      </c>
      <c r="D754">
        <v>-0.42364893019360178</v>
      </c>
      <c r="E754">
        <v>6.2935306182291706E-2</v>
      </c>
      <c r="F754">
        <v>560.85673982747721</v>
      </c>
    </row>
    <row r="755" spans="1:6" x14ac:dyDescent="0.3">
      <c r="A755">
        <v>0.05</v>
      </c>
      <c r="B755" t="s">
        <v>92</v>
      </c>
      <c r="C755">
        <v>-0.39</v>
      </c>
      <c r="D755">
        <v>-0.41180003447869035</v>
      </c>
      <c r="E755">
        <v>6.2456858303720428E-2</v>
      </c>
      <c r="F755">
        <v>575.77273228098136</v>
      </c>
    </row>
    <row r="756" spans="1:6" x14ac:dyDescent="0.3">
      <c r="A756">
        <v>0.05</v>
      </c>
      <c r="B756" t="s">
        <v>92</v>
      </c>
      <c r="C756">
        <v>-0.38</v>
      </c>
      <c r="D756">
        <v>-0.40005965005605654</v>
      </c>
      <c r="E756">
        <v>6.1968065982257702E-2</v>
      </c>
      <c r="F756">
        <v>591.36902913410847</v>
      </c>
    </row>
    <row r="757" spans="1:6" x14ac:dyDescent="0.3">
      <c r="A757">
        <v>0.05</v>
      </c>
      <c r="B757" t="s">
        <v>92</v>
      </c>
      <c r="C757">
        <v>-0.37</v>
      </c>
      <c r="D757">
        <v>-0.38842309971829614</v>
      </c>
      <c r="E757">
        <v>6.1468411594372378E-2</v>
      </c>
      <c r="F757">
        <v>607.69835390437299</v>
      </c>
    </row>
    <row r="758" spans="1:6" x14ac:dyDescent="0.3">
      <c r="A758">
        <v>0.05</v>
      </c>
      <c r="B758" t="s">
        <v>92</v>
      </c>
      <c r="C758">
        <v>-0.36</v>
      </c>
      <c r="D758">
        <v>-0.37688590118819004</v>
      </c>
      <c r="E758">
        <v>6.0957309793422142E-2</v>
      </c>
      <c r="F758">
        <v>624.81900607280772</v>
      </c>
    </row>
    <row r="759" spans="1:6" x14ac:dyDescent="0.3">
      <c r="A759">
        <v>0.05</v>
      </c>
      <c r="B759" t="s">
        <v>92</v>
      </c>
      <c r="C759">
        <v>-0.35</v>
      </c>
      <c r="D759">
        <v>-0.36544375427139619</v>
      </c>
      <c r="E759">
        <v>6.0434151800221297E-2</v>
      </c>
      <c r="F759">
        <v>642.79550823585328</v>
      </c>
    </row>
    <row r="760" spans="1:6" x14ac:dyDescent="0.3">
      <c r="A760">
        <v>0.05</v>
      </c>
      <c r="B760" t="s">
        <v>92</v>
      </c>
      <c r="C760">
        <v>-0.34</v>
      </c>
      <c r="D760">
        <v>-0.35409252896224297</v>
      </c>
      <c r="E760">
        <v>5.9898267265626699E-2</v>
      </c>
      <c r="F760">
        <v>661.69956113629837</v>
      </c>
    </row>
    <row r="761" spans="1:6" x14ac:dyDescent="0.3">
      <c r="A761">
        <v>0.05</v>
      </c>
      <c r="B761" t="s">
        <v>92</v>
      </c>
      <c r="C761">
        <v>-0.33</v>
      </c>
      <c r="D761">
        <v>-0.34282825441539394</v>
      </c>
      <c r="E761">
        <v>5.93489683083969E-2</v>
      </c>
      <c r="F761">
        <v>681.61094945096306</v>
      </c>
    </row>
    <row r="762" spans="1:6" x14ac:dyDescent="0.3">
      <c r="A762">
        <v>0.05</v>
      </c>
      <c r="B762" t="s">
        <v>92</v>
      </c>
      <c r="C762">
        <v>-0.32</v>
      </c>
      <c r="D762">
        <v>-0.3316471087051322</v>
      </c>
      <c r="E762">
        <v>5.8785481479544446E-2</v>
      </c>
      <c r="F762">
        <v>702.61891092243889</v>
      </c>
    </row>
    <row r="763" spans="1:6" x14ac:dyDescent="0.3">
      <c r="A763">
        <v>0.05</v>
      </c>
      <c r="B763" t="s">
        <v>92</v>
      </c>
      <c r="C763">
        <v>-0.31</v>
      </c>
      <c r="D763">
        <v>-0.32054540930194608</v>
      </c>
      <c r="E763">
        <v>5.8207024350703816E-2</v>
      </c>
      <c r="F763">
        <v>724.82334311134252</v>
      </c>
    </row>
    <row r="764" spans="1:6" x14ac:dyDescent="0.3">
      <c r="A764">
        <v>0.05</v>
      </c>
      <c r="B764" t="s">
        <v>92</v>
      </c>
      <c r="C764">
        <v>-0.3</v>
      </c>
      <c r="D764">
        <v>-0.30951960420311175</v>
      </c>
      <c r="E764">
        <v>5.7612693564014827E-2</v>
      </c>
      <c r="F764">
        <v>748.33680043698496</v>
      </c>
    </row>
    <row r="765" spans="1:6" x14ac:dyDescent="0.3">
      <c r="A765">
        <v>0.05</v>
      </c>
      <c r="B765" t="s">
        <v>92</v>
      </c>
      <c r="C765">
        <v>-0.28999999999999998</v>
      </c>
      <c r="D765">
        <v>-0.29856626366017835</v>
      </c>
      <c r="E765">
        <v>5.7001558286598752E-2</v>
      </c>
      <c r="F765">
        <v>773.28623790968584</v>
      </c>
    </row>
    <row r="766" spans="1:6" x14ac:dyDescent="0.3">
      <c r="A766">
        <v>0.05</v>
      </c>
      <c r="B766" t="s">
        <v>92</v>
      </c>
      <c r="C766">
        <v>-0.28000000000000003</v>
      </c>
      <c r="D766">
        <v>-0.2876820724517809</v>
      </c>
      <c r="E766">
        <v>5.6372598191927685E-2</v>
      </c>
      <c r="F766">
        <v>799.81560763355253</v>
      </c>
    </row>
    <row r="767" spans="1:6" x14ac:dyDescent="0.3">
      <c r="A767">
        <v>0.05</v>
      </c>
      <c r="B767" t="s">
        <v>92</v>
      </c>
      <c r="C767">
        <v>-0.27</v>
      </c>
      <c r="D767">
        <v>-0.27686382265510007</v>
      </c>
      <c r="E767">
        <v>5.5724690844424912E-2</v>
      </c>
      <c r="F767">
        <v>828.08883541370869</v>
      </c>
    </row>
    <row r="768" spans="1:6" x14ac:dyDescent="0.3">
      <c r="A768">
        <v>0.05</v>
      </c>
      <c r="B768" t="s">
        <v>92</v>
      </c>
      <c r="C768">
        <v>-0.26</v>
      </c>
      <c r="D768">
        <v>-0.26610840687365411</v>
      </c>
      <c r="E768">
        <v>5.5056615608216827E-2</v>
      </c>
      <c r="F768">
        <v>858.29337581623793</v>
      </c>
    </row>
    <row r="769" spans="1:6" x14ac:dyDescent="0.3">
      <c r="A769">
        <v>0.05</v>
      </c>
      <c r="B769" t="s">
        <v>92</v>
      </c>
      <c r="C769">
        <v>-0.25</v>
      </c>
      <c r="D769">
        <v>-0.25541281188299536</v>
      </c>
      <c r="E769">
        <v>5.4367058398534542E-2</v>
      </c>
      <c r="F769">
        <v>890.64455092936782</v>
      </c>
    </row>
    <row r="770" spans="1:6" x14ac:dyDescent="0.3">
      <c r="A770">
        <v>0.05</v>
      </c>
      <c r="B770" t="s">
        <v>92</v>
      </c>
      <c r="C770">
        <v>-0.24</v>
      </c>
      <c r="D770">
        <v>-0.24477411265935289</v>
      </c>
      <c r="E770">
        <v>5.365454527846638E-2</v>
      </c>
      <c r="F770">
        <v>925.39120448623089</v>
      </c>
    </row>
    <row r="771" spans="1:6" x14ac:dyDescent="0.3">
      <c r="A771">
        <v>0.05</v>
      </c>
      <c r="B771" t="s">
        <v>92</v>
      </c>
      <c r="C771">
        <v>-0.23</v>
      </c>
      <c r="D771">
        <v>-0.23418946675936678</v>
      </c>
      <c r="E771">
        <v>5.2917481379742004E-2</v>
      </c>
      <c r="F771">
        <v>962.82225912982517</v>
      </c>
    </row>
    <row r="772" spans="1:6" x14ac:dyDescent="0.3">
      <c r="A772">
        <v>0.05</v>
      </c>
      <c r="B772" t="s">
        <v>92</v>
      </c>
      <c r="C772">
        <v>-0.22</v>
      </c>
      <c r="D772">
        <v>-0.22365610902183239</v>
      </c>
      <c r="E772">
        <v>5.2154090161390838E-2</v>
      </c>
      <c r="F772">
        <v>1003.2753979864101</v>
      </c>
    </row>
    <row r="773" spans="1:6" x14ac:dyDescent="0.3">
      <c r="A773">
        <v>0.05</v>
      </c>
      <c r="B773" t="s">
        <v>92</v>
      </c>
      <c r="C773">
        <v>-0.21</v>
      </c>
      <c r="D773">
        <v>-0.21317134656485975</v>
      </c>
      <c r="E773">
        <v>5.1362400037600821E-2</v>
      </c>
      <c r="F773">
        <v>1047.1478134084762</v>
      </c>
    </row>
    <row r="774" spans="1:6" x14ac:dyDescent="0.3">
      <c r="A774">
        <v>0.05</v>
      </c>
      <c r="B774" t="s">
        <v>92</v>
      </c>
      <c r="C774">
        <v>-0.2</v>
      </c>
      <c r="D774">
        <v>-0.20273255405408214</v>
      </c>
      <c r="E774">
        <v>5.054021995576595E-2</v>
      </c>
      <c r="F774">
        <v>1094.9099866244362</v>
      </c>
    </row>
    <row r="775" spans="1:6" x14ac:dyDescent="0.3">
      <c r="A775">
        <v>0.05</v>
      </c>
      <c r="B775" t="s">
        <v>92</v>
      </c>
      <c r="C775">
        <v>-0.19</v>
      </c>
      <c r="D775">
        <v>-0.1923371692195453</v>
      </c>
      <c r="E775">
        <v>4.9685091392954489E-2</v>
      </c>
      <c r="F775">
        <v>1147.1236171769074</v>
      </c>
    </row>
    <row r="776" spans="1:6" x14ac:dyDescent="0.3">
      <c r="A776">
        <v>0.05</v>
      </c>
      <c r="B776" t="s">
        <v>92</v>
      </c>
      <c r="C776">
        <v>-0.18</v>
      </c>
      <c r="D776">
        <v>-0.18198268860070579</v>
      </c>
      <c r="E776">
        <v>4.8794205461349674E-2</v>
      </c>
      <c r="F776">
        <v>1204.4652956485718</v>
      </c>
    </row>
    <row r="777" spans="1:6" x14ac:dyDescent="0.3">
      <c r="A777">
        <v>0.05</v>
      </c>
      <c r="B777" t="s">
        <v>92</v>
      </c>
      <c r="C777">
        <v>-0.17</v>
      </c>
      <c r="D777">
        <v>-0.17166666350057908</v>
      </c>
      <c r="E777">
        <v>4.7864448092148321E-2</v>
      </c>
      <c r="F777">
        <v>1267.7569051822522</v>
      </c>
    </row>
    <row r="778" spans="1:6" x14ac:dyDescent="0.3">
      <c r="A778">
        <v>0.05</v>
      </c>
      <c r="B778" t="s">
        <v>92</v>
      </c>
      <c r="C778">
        <v>-0.16</v>
      </c>
      <c r="D778">
        <v>-0.16138669613152551</v>
      </c>
      <c r="E778">
        <v>4.6892195118771365E-2</v>
      </c>
      <c r="F778">
        <v>1338.0083431168282</v>
      </c>
    </row>
    <row r="779" spans="1:6" x14ac:dyDescent="0.3">
      <c r="A779">
        <v>0.05</v>
      </c>
      <c r="B779" t="s">
        <v>92</v>
      </c>
      <c r="C779">
        <v>-0.15</v>
      </c>
      <c r="D779">
        <v>-0.15114043593646675</v>
      </c>
      <c r="E779">
        <v>4.5873332898821506E-2</v>
      </c>
      <c r="F779">
        <v>1416.4739434465819</v>
      </c>
    </row>
    <row r="780" spans="1:6" x14ac:dyDescent="0.3">
      <c r="A780">
        <v>0.05</v>
      </c>
      <c r="B780" t="s">
        <v>92</v>
      </c>
      <c r="C780">
        <v>-0.14000000000000001</v>
      </c>
      <c r="D780">
        <v>-0.14092557607049394</v>
      </c>
      <c r="E780">
        <v>4.4803037371574303E-2</v>
      </c>
      <c r="F780">
        <v>1504.7330142999861</v>
      </c>
    </row>
    <row r="781" spans="1:6" x14ac:dyDescent="0.3">
      <c r="A781">
        <v>0.05</v>
      </c>
      <c r="B781" t="s">
        <v>92</v>
      </c>
      <c r="C781">
        <v>-0.13</v>
      </c>
      <c r="D781">
        <v>-0.13073985002887836</v>
      </c>
      <c r="E781">
        <v>4.3675674795296625E-2</v>
      </c>
      <c r="F781">
        <v>1604.8027304001605</v>
      </c>
    </row>
    <row r="782" spans="1:6" x14ac:dyDescent="0.3">
      <c r="A782">
        <v>0.05</v>
      </c>
      <c r="B782" t="s">
        <v>92</v>
      </c>
      <c r="C782">
        <v>-0.12</v>
      </c>
      <c r="D782">
        <v>-0.12058102840844405</v>
      </c>
      <c r="E782">
        <v>4.2484589654404464E-2</v>
      </c>
      <c r="F782">
        <v>1719.3028864718799</v>
      </c>
    </row>
    <row r="783" spans="1:6" x14ac:dyDescent="0.3">
      <c r="A783">
        <v>0.05</v>
      </c>
      <c r="B783" t="s">
        <v>92</v>
      </c>
      <c r="C783">
        <v>-0.11</v>
      </c>
      <c r="D783">
        <v>-0.1104469157900972</v>
      </c>
      <c r="E783">
        <v>4.1221740709889654E-2</v>
      </c>
      <c r="F783">
        <v>1851.7028974951884</v>
      </c>
    </row>
    <row r="784" spans="1:6" x14ac:dyDescent="0.3">
      <c r="A784">
        <v>0.05</v>
      </c>
      <c r="B784" t="s">
        <v>92</v>
      </c>
      <c r="C784">
        <v>-0.1</v>
      </c>
      <c r="D784">
        <v>-0.10033534773107562</v>
      </c>
      <c r="E784">
        <v>3.9877383677108032E-2</v>
      </c>
      <c r="F784">
        <v>2006.6993574453438</v>
      </c>
    </row>
    <row r="785" spans="1:6" x14ac:dyDescent="0.3">
      <c r="A785">
        <v>0.05</v>
      </c>
      <c r="B785" t="s">
        <v>92</v>
      </c>
      <c r="C785">
        <v>-0.09</v>
      </c>
      <c r="D785">
        <v>-9.0244187856146837E-2</v>
      </c>
      <c r="E785">
        <v>3.843937588734294E-2</v>
      </c>
      <c r="F785">
        <v>2190.8211237514051</v>
      </c>
    </row>
    <row r="786" spans="1:6" x14ac:dyDescent="0.3">
      <c r="A786">
        <v>0.05</v>
      </c>
      <c r="B786" t="s">
        <v>92</v>
      </c>
      <c r="C786">
        <v>-0.08</v>
      </c>
      <c r="D786">
        <v>-8.0171325037589683E-2</v>
      </c>
      <c r="E786">
        <v>3.6892353741011852E-2</v>
      </c>
      <c r="F786">
        <v>2413.431613853274</v>
      </c>
    </row>
    <row r="787" spans="1:6" x14ac:dyDescent="0.3">
      <c r="A787">
        <v>0.05</v>
      </c>
      <c r="B787" t="s">
        <v>92</v>
      </c>
      <c r="C787">
        <v>-7.0000000000000007E-2</v>
      </c>
      <c r="D787">
        <v>-7.0114670654325195E-2</v>
      </c>
      <c r="E787">
        <v>3.521629220449677E-2</v>
      </c>
      <c r="F787">
        <v>2688.4831840290044</v>
      </c>
    </row>
    <row r="788" spans="1:6" x14ac:dyDescent="0.3">
      <c r="A788">
        <v>0.05</v>
      </c>
      <c r="B788" t="s">
        <v>92</v>
      </c>
      <c r="C788">
        <v>-0.06</v>
      </c>
      <c r="D788">
        <v>-6.007215592103167E-2</v>
      </c>
      <c r="E788">
        <v>3.3384240117665727E-2</v>
      </c>
      <c r="F788">
        <v>3037.7771473799012</v>
      </c>
    </row>
    <row r="789" spans="1:6" x14ac:dyDescent="0.3">
      <c r="A789">
        <v>0.05</v>
      </c>
      <c r="B789" t="s">
        <v>92</v>
      </c>
      <c r="C789">
        <v>-0.05</v>
      </c>
      <c r="D789">
        <v>-5.0041729278491327E-2</v>
      </c>
      <c r="E789">
        <v>3.1358350866468258E-2</v>
      </c>
      <c r="F789">
        <v>3497.5174604208491</v>
      </c>
    </row>
    <row r="790" spans="1:6" x14ac:dyDescent="0.3">
      <c r="A790">
        <v>0.05</v>
      </c>
      <c r="B790" t="s">
        <v>92</v>
      </c>
      <c r="C790">
        <v>-0.04</v>
      </c>
      <c r="D790">
        <v>-4.0021353836768248E-2</v>
      </c>
      <c r="E790">
        <v>2.908231574754977E-2</v>
      </c>
      <c r="F790">
        <v>4132.9069865889915</v>
      </c>
    </row>
    <row r="791" spans="1:6" x14ac:dyDescent="0.3">
      <c r="A791">
        <v>0.05</v>
      </c>
      <c r="B791" t="s">
        <v>92</v>
      </c>
      <c r="C791">
        <v>-0.03</v>
      </c>
      <c r="D791">
        <v>-3.000900486312652E-2</v>
      </c>
      <c r="E791">
        <v>2.6465298077018255E-2</v>
      </c>
      <c r="F791">
        <v>5075.5714914815517</v>
      </c>
    </row>
    <row r="792" spans="1:6" x14ac:dyDescent="0.3">
      <c r="A792">
        <v>0.05</v>
      </c>
      <c r="B792" t="s">
        <v>92</v>
      </c>
      <c r="C792">
        <v>-0.02</v>
      </c>
      <c r="D792">
        <v>-2.0002667306849624E-2</v>
      </c>
      <c r="E792">
        <v>2.3341320936555283E-2</v>
      </c>
      <c r="F792">
        <v>6641.914168705418</v>
      </c>
    </row>
    <row r="793" spans="1:6" x14ac:dyDescent="0.3">
      <c r="A793">
        <v>0.05</v>
      </c>
      <c r="B793" t="s">
        <v>92</v>
      </c>
      <c r="C793">
        <v>-0.01</v>
      </c>
      <c r="D793">
        <v>-1.0000333353334771E-2</v>
      </c>
      <c r="E793">
        <v>1.9332363820355927E-2</v>
      </c>
      <c r="F793">
        <v>9869.4199304793092</v>
      </c>
    </row>
    <row r="794" spans="1:6" x14ac:dyDescent="0.3">
      <c r="A794">
        <v>0.01</v>
      </c>
      <c r="B794" t="s">
        <v>92</v>
      </c>
      <c r="C794">
        <v>-0.99</v>
      </c>
      <c r="D794">
        <v>-2.6466524123622457</v>
      </c>
      <c r="E794">
        <v>0.11490300058734207</v>
      </c>
      <c r="F794">
        <v>93.540861316325902</v>
      </c>
    </row>
    <row r="795" spans="1:6" x14ac:dyDescent="0.3">
      <c r="A795">
        <v>0.01</v>
      </c>
      <c r="B795" t="s">
        <v>92</v>
      </c>
      <c r="C795">
        <v>-0.98</v>
      </c>
      <c r="D795">
        <v>-2.2975599250672945</v>
      </c>
      <c r="E795">
        <v>0.11339848739082554</v>
      </c>
      <c r="F795">
        <v>106.96424251989728</v>
      </c>
    </row>
    <row r="796" spans="1:6" x14ac:dyDescent="0.3">
      <c r="A796">
        <v>0.01</v>
      </c>
      <c r="B796" t="s">
        <v>92</v>
      </c>
      <c r="C796">
        <v>-0.97</v>
      </c>
      <c r="D796">
        <v>-2.0922957200349388</v>
      </c>
      <c r="E796">
        <v>0.11232262564017248</v>
      </c>
      <c r="F796">
        <v>116.89577730405726</v>
      </c>
    </row>
    <row r="797" spans="1:6" x14ac:dyDescent="0.3">
      <c r="A797">
        <v>0.01</v>
      </c>
      <c r="B797" t="s">
        <v>92</v>
      </c>
      <c r="C797">
        <v>-0.96</v>
      </c>
      <c r="D797">
        <v>-1.9459101490553128</v>
      </c>
      <c r="E797">
        <v>0.11144362374673107</v>
      </c>
      <c r="F797">
        <v>125.22441868958263</v>
      </c>
    </row>
    <row r="798" spans="1:6" x14ac:dyDescent="0.3">
      <c r="A798">
        <v>0.01</v>
      </c>
      <c r="B798" t="s">
        <v>92</v>
      </c>
      <c r="C798">
        <v>-0.95</v>
      </c>
      <c r="D798">
        <v>-1.8317808230648227</v>
      </c>
      <c r="E798">
        <v>0.11068059291314013</v>
      </c>
      <c r="F798">
        <v>132.61556690495689</v>
      </c>
    </row>
    <row r="799" spans="1:6" x14ac:dyDescent="0.3">
      <c r="A799">
        <v>0.01</v>
      </c>
      <c r="B799" t="s">
        <v>92</v>
      </c>
      <c r="C799">
        <v>-0.94</v>
      </c>
      <c r="D799">
        <v>-1.7380493449176362</v>
      </c>
      <c r="E799">
        <v>0.10999477478065438</v>
      </c>
      <c r="F799">
        <v>139.39057206855179</v>
      </c>
    </row>
    <row r="800" spans="1:6" x14ac:dyDescent="0.3">
      <c r="A800">
        <v>0.01</v>
      </c>
      <c r="B800" t="s">
        <v>92</v>
      </c>
      <c r="C800">
        <v>-0.93</v>
      </c>
      <c r="D800">
        <v>-1.6583900199247865</v>
      </c>
      <c r="E800">
        <v>0.10936425016067863</v>
      </c>
      <c r="F800">
        <v>145.73226494585384</v>
      </c>
    </row>
    <row r="801" spans="1:6" x14ac:dyDescent="0.3">
      <c r="A801">
        <v>0.01</v>
      </c>
      <c r="B801" t="s">
        <v>92</v>
      </c>
      <c r="C801">
        <v>-0.92</v>
      </c>
      <c r="D801">
        <v>-1.5890269151739731</v>
      </c>
      <c r="E801">
        <v>0.10877526356521615</v>
      </c>
      <c r="F801">
        <v>151.75598375182128</v>
      </c>
    </row>
    <row r="802" spans="1:6" x14ac:dyDescent="0.3">
      <c r="A802">
        <v>0.01</v>
      </c>
      <c r="B802" t="s">
        <v>92</v>
      </c>
      <c r="C802">
        <v>-0.91</v>
      </c>
      <c r="D802">
        <v>-1.5275244253552054</v>
      </c>
      <c r="E802">
        <v>0.10821857716758823</v>
      </c>
      <c r="F802">
        <v>157.53991716319985</v>
      </c>
    </row>
    <row r="803" spans="1:6" x14ac:dyDescent="0.3">
      <c r="A803">
        <v>0.01</v>
      </c>
      <c r="B803" t="s">
        <v>92</v>
      </c>
      <c r="C803">
        <v>-0.9</v>
      </c>
      <c r="D803">
        <v>-1.4722194895832204</v>
      </c>
      <c r="E803">
        <v>0.10768766235623881</v>
      </c>
      <c r="F803">
        <v>163.13999601296018</v>
      </c>
    </row>
    <row r="804" spans="1:6" x14ac:dyDescent="0.3">
      <c r="A804">
        <v>0.01</v>
      </c>
      <c r="B804" t="s">
        <v>92</v>
      </c>
      <c r="C804">
        <v>-0.89</v>
      </c>
      <c r="D804">
        <v>-1.421925871130636</v>
      </c>
      <c r="E804">
        <v>0.10717765285210953</v>
      </c>
      <c r="F804">
        <v>168.59797617142294</v>
      </c>
    </row>
    <row r="805" spans="1:6" x14ac:dyDescent="0.3">
      <c r="A805">
        <v>0.01</v>
      </c>
      <c r="B805" t="s">
        <v>92</v>
      </c>
      <c r="C805">
        <v>-0.88</v>
      </c>
      <c r="D805">
        <v>-1.3757676565209744</v>
      </c>
      <c r="E805">
        <v>0.10668488893088049</v>
      </c>
      <c r="F805">
        <v>173.94609094987055</v>
      </c>
    </row>
    <row r="806" spans="1:6" x14ac:dyDescent="0.3">
      <c r="A806">
        <v>0.01</v>
      </c>
      <c r="B806" t="s">
        <v>92</v>
      </c>
      <c r="C806">
        <v>-0.87</v>
      </c>
      <c r="D806">
        <v>-1.333079629696525</v>
      </c>
      <c r="E806">
        <v>0.10620644449635451</v>
      </c>
      <c r="F806">
        <v>179.20999141044791</v>
      </c>
    </row>
    <row r="807" spans="1:6" x14ac:dyDescent="0.3">
      <c r="A807">
        <v>0.01</v>
      </c>
      <c r="B807" t="s">
        <v>92</v>
      </c>
      <c r="C807">
        <v>-0.86</v>
      </c>
      <c r="D807">
        <v>-1.2933446720489712</v>
      </c>
      <c r="E807">
        <v>0.10574003152936694</v>
      </c>
      <c r="F807">
        <v>184.41056668259981</v>
      </c>
    </row>
    <row r="808" spans="1:6" x14ac:dyDescent="0.3">
      <c r="A808">
        <v>0.01</v>
      </c>
      <c r="B808" t="s">
        <v>92</v>
      </c>
      <c r="C808">
        <v>-0.85</v>
      </c>
      <c r="D808">
        <v>-1.2561528119880574</v>
      </c>
      <c r="E808">
        <v>0.10528375272591954</v>
      </c>
      <c r="F808">
        <v>189.56523731128507</v>
      </c>
    </row>
    <row r="809" spans="1:6" x14ac:dyDescent="0.3">
      <c r="A809">
        <v>0.01</v>
      </c>
      <c r="B809" t="s">
        <v>92</v>
      </c>
      <c r="C809">
        <v>-0.84</v>
      </c>
      <c r="D809">
        <v>-1.2211735176846021</v>
      </c>
      <c r="E809">
        <v>0.10483602412135715</v>
      </c>
      <c r="F809">
        <v>194.68881667248135</v>
      </c>
    </row>
    <row r="810" spans="1:6" x14ac:dyDescent="0.3">
      <c r="A810">
        <v>0.01</v>
      </c>
      <c r="B810" t="s">
        <v>92</v>
      </c>
      <c r="C810">
        <v>-0.83</v>
      </c>
      <c r="D810">
        <v>-1.1881364043926024</v>
      </c>
      <c r="E810">
        <v>0.10439551819771276</v>
      </c>
      <c r="F810">
        <v>199.79412474083134</v>
      </c>
    </row>
    <row r="811" spans="1:6" x14ac:dyDescent="0.3">
      <c r="A811">
        <v>0.01</v>
      </c>
      <c r="B811" t="s">
        <v>92</v>
      </c>
      <c r="C811">
        <v>-0.82</v>
      </c>
      <c r="D811">
        <v>-1.1568174645903151</v>
      </c>
      <c r="E811">
        <v>0.10396112412590282</v>
      </c>
      <c r="F811">
        <v>204.89243459671741</v>
      </c>
    </row>
    <row r="812" spans="1:6" x14ac:dyDescent="0.3">
      <c r="A812">
        <v>0.01</v>
      </c>
      <c r="B812" t="s">
        <v>92</v>
      </c>
      <c r="C812">
        <v>-0.81</v>
      </c>
      <c r="D812">
        <v>-1.1270290260496929</v>
      </c>
      <c r="E812">
        <v>0.10353183999766979</v>
      </c>
      <c r="F812">
        <v>209.99384390658733</v>
      </c>
    </row>
    <row r="813" spans="1:6" x14ac:dyDescent="0.3">
      <c r="A813">
        <v>0.01</v>
      </c>
      <c r="B813" t="s">
        <v>92</v>
      </c>
      <c r="C813">
        <v>-0.8</v>
      </c>
      <c r="D813">
        <v>-1.0986122886681098</v>
      </c>
      <c r="E813">
        <v>0.10310681843397097</v>
      </c>
      <c r="F813">
        <v>215.10749766896612</v>
      </c>
    </row>
    <row r="814" spans="1:6" x14ac:dyDescent="0.3">
      <c r="A814">
        <v>0.01</v>
      </c>
      <c r="B814" t="s">
        <v>92</v>
      </c>
      <c r="C814">
        <v>-0.79</v>
      </c>
      <c r="D814">
        <v>-1.0714316840586662</v>
      </c>
      <c r="E814">
        <v>0.10268529802433819</v>
      </c>
      <c r="F814">
        <v>220.24181066239217</v>
      </c>
    </row>
    <row r="815" spans="1:6" x14ac:dyDescent="0.3">
      <c r="A815">
        <v>0.01</v>
      </c>
      <c r="B815" t="s">
        <v>92</v>
      </c>
      <c r="C815">
        <v>-0.78</v>
      </c>
      <c r="D815">
        <v>-1.0453705484668847</v>
      </c>
      <c r="E815">
        <v>0.10226662418928975</v>
      </c>
      <c r="F815">
        <v>225.40460558320001</v>
      </c>
    </row>
    <row r="816" spans="1:6" x14ac:dyDescent="0.3">
      <c r="A816">
        <v>0.01</v>
      </c>
      <c r="B816" t="s">
        <v>92</v>
      </c>
      <c r="C816">
        <v>-0.77</v>
      </c>
      <c r="D816">
        <v>-1.0203277583223398</v>
      </c>
      <c r="E816">
        <v>0.10185016198932428</v>
      </c>
      <c r="F816">
        <v>230.60327978353493</v>
      </c>
    </row>
    <row r="817" spans="1:6" x14ac:dyDescent="0.3">
      <c r="A817">
        <v>0.01</v>
      </c>
      <c r="B817" t="s">
        <v>92</v>
      </c>
      <c r="C817">
        <v>-0.76</v>
      </c>
      <c r="D817">
        <v>-0.99621508234510314</v>
      </c>
      <c r="E817">
        <v>0.10143537727292984</v>
      </c>
      <c r="F817">
        <v>235.84485896876009</v>
      </c>
    </row>
    <row r="818" spans="1:6" x14ac:dyDescent="0.3">
      <c r="A818">
        <v>0.01</v>
      </c>
      <c r="B818" t="s">
        <v>92</v>
      </c>
      <c r="C818">
        <v>-0.75</v>
      </c>
      <c r="D818">
        <v>-0.97295507452765673</v>
      </c>
      <c r="E818">
        <v>0.10102175784623296</v>
      </c>
      <c r="F818">
        <v>241.13612171246356</v>
      </c>
    </row>
    <row r="819" spans="1:6" x14ac:dyDescent="0.3">
      <c r="A819">
        <v>0.01</v>
      </c>
      <c r="B819" t="s">
        <v>92</v>
      </c>
      <c r="C819">
        <v>-0.74</v>
      </c>
      <c r="D819">
        <v>-0.95047938059652348</v>
      </c>
      <c r="E819">
        <v>0.10060883814023858</v>
      </c>
      <c r="F819">
        <v>246.48365439487293</v>
      </c>
    </row>
    <row r="820" spans="1:6" x14ac:dyDescent="0.3">
      <c r="A820">
        <v>0.01</v>
      </c>
      <c r="B820" t="s">
        <v>92</v>
      </c>
      <c r="C820">
        <v>-0.73</v>
      </c>
      <c r="D820">
        <v>-0.92872736424672497</v>
      </c>
      <c r="E820">
        <v>0.10019619112023494</v>
      </c>
      <c r="F820">
        <v>251.89391425229039</v>
      </c>
    </row>
    <row r="821" spans="1:6" x14ac:dyDescent="0.3">
      <c r="A821">
        <v>0.01</v>
      </c>
      <c r="B821" t="s">
        <v>92</v>
      </c>
      <c r="C821">
        <v>-0.72</v>
      </c>
      <c r="D821">
        <v>-0.90764498331912458</v>
      </c>
      <c r="E821">
        <v>9.9783396810205774E-2</v>
      </c>
      <c r="F821">
        <v>257.37330084397632</v>
      </c>
    </row>
    <row r="822" spans="1:6" x14ac:dyDescent="0.3">
      <c r="A822">
        <v>0.01</v>
      </c>
      <c r="B822" t="s">
        <v>92</v>
      </c>
      <c r="C822">
        <v>-0.71</v>
      </c>
      <c r="D822">
        <v>-0.88718386325809284</v>
      </c>
      <c r="E822">
        <v>9.9370078204862877E-2</v>
      </c>
      <c r="F822">
        <v>262.92817919569177</v>
      </c>
    </row>
    <row r="823" spans="1:6" x14ac:dyDescent="0.3">
      <c r="A823">
        <v>0.01</v>
      </c>
      <c r="B823" t="s">
        <v>92</v>
      </c>
      <c r="C823">
        <v>-0.7</v>
      </c>
      <c r="D823">
        <v>-0.86730052769405308</v>
      </c>
      <c r="E823">
        <v>9.8955883978069273E-2</v>
      </c>
      <c r="F823">
        <v>268.56493142454917</v>
      </c>
    </row>
    <row r="824" spans="1:6" x14ac:dyDescent="0.3">
      <c r="A824">
        <v>0.01</v>
      </c>
      <c r="B824" t="s">
        <v>92</v>
      </c>
      <c r="C824">
        <v>-0.69</v>
      </c>
      <c r="D824">
        <v>-0.84795575521896349</v>
      </c>
      <c r="E824">
        <v>9.8540448762910487E-2</v>
      </c>
      <c r="F824">
        <v>274.2900230689155</v>
      </c>
    </row>
    <row r="825" spans="1:6" x14ac:dyDescent="0.3">
      <c r="A825">
        <v>0.01</v>
      </c>
      <c r="B825" t="s">
        <v>92</v>
      </c>
      <c r="C825">
        <v>-0.68</v>
      </c>
      <c r="D825">
        <v>-0.82911403830176633</v>
      </c>
      <c r="E825">
        <v>9.8123450609879648E-2</v>
      </c>
      <c r="F825">
        <v>280.109999676055</v>
      </c>
    </row>
    <row r="826" spans="1:6" x14ac:dyDescent="0.3">
      <c r="A826">
        <v>0.01</v>
      </c>
      <c r="B826" t="s">
        <v>92</v>
      </c>
      <c r="C826">
        <v>-0.67</v>
      </c>
      <c r="D826">
        <v>-0.81074312547513749</v>
      </c>
      <c r="E826">
        <v>9.7704553735230237E-2</v>
      </c>
      <c r="F826">
        <v>286.03156213440786</v>
      </c>
    </row>
    <row r="827" spans="1:6" x14ac:dyDescent="0.3">
      <c r="A827">
        <v>0.01</v>
      </c>
      <c r="B827" t="s">
        <v>92</v>
      </c>
      <c r="C827">
        <v>-0.66</v>
      </c>
      <c r="D827">
        <v>-0.79281363187019105</v>
      </c>
      <c r="E827">
        <v>9.7283461730161058E-2</v>
      </c>
      <c r="F827">
        <v>292.06156139624375</v>
      </c>
    </row>
    <row r="828" spans="1:6" x14ac:dyDescent="0.3">
      <c r="A828">
        <v>0.01</v>
      </c>
      <c r="B828" t="s">
        <v>92</v>
      </c>
      <c r="C828">
        <v>-0.65</v>
      </c>
      <c r="D828">
        <v>-0.7752987062055835</v>
      </c>
      <c r="E828">
        <v>9.6859850273955439E-2</v>
      </c>
      <c r="F828">
        <v>298.20708325054801</v>
      </c>
    </row>
    <row r="829" spans="1:6" x14ac:dyDescent="0.3">
      <c r="A829">
        <v>0.01</v>
      </c>
      <c r="B829" t="s">
        <v>92</v>
      </c>
      <c r="C829">
        <v>-0.64</v>
      </c>
      <c r="D829">
        <v>-0.7581737446840443</v>
      </c>
      <c r="E829">
        <v>9.6433421416151979E-2</v>
      </c>
      <c r="F829">
        <v>304.47544099757914</v>
      </c>
    </row>
    <row r="830" spans="1:6" x14ac:dyDescent="0.3">
      <c r="A830">
        <v>0.01</v>
      </c>
      <c r="B830" t="s">
        <v>92</v>
      </c>
      <c r="C830">
        <v>-0.63</v>
      </c>
      <c r="D830">
        <v>-0.74141614408126888</v>
      </c>
      <c r="E830">
        <v>9.6003874269246364E-2</v>
      </c>
      <c r="F830">
        <v>310.8742328277595</v>
      </c>
    </row>
    <row r="831" spans="1:6" x14ac:dyDescent="0.3">
      <c r="A831">
        <v>0.01</v>
      </c>
      <c r="B831" t="s">
        <v>92</v>
      </c>
      <c r="C831">
        <v>-0.62</v>
      </c>
      <c r="D831">
        <v>-0.72500508775299921</v>
      </c>
      <c r="E831">
        <v>9.5570917797966767E-2</v>
      </c>
      <c r="F831">
        <v>317.41136716788395</v>
      </c>
    </row>
    <row r="832" spans="1:6" x14ac:dyDescent="0.3">
      <c r="A832">
        <v>0.01</v>
      </c>
      <c r="B832" t="s">
        <v>92</v>
      </c>
      <c r="C832">
        <v>-0.61</v>
      </c>
      <c r="D832">
        <v>-0.7089213594274083</v>
      </c>
      <c r="E832">
        <v>9.5134258944827771E-2</v>
      </c>
      <c r="F832">
        <v>324.09510998828745</v>
      </c>
    </row>
    <row r="833" spans="1:6" x14ac:dyDescent="0.3">
      <c r="A833">
        <v>0.01</v>
      </c>
      <c r="B833" t="s">
        <v>92</v>
      </c>
      <c r="C833">
        <v>-0.6</v>
      </c>
      <c r="D833">
        <v>-0.69314718055994529</v>
      </c>
      <c r="E833">
        <v>9.4693578910441237E-2</v>
      </c>
      <c r="F833">
        <v>330.9341469534773</v>
      </c>
    </row>
    <row r="834" spans="1:6" x14ac:dyDescent="0.3">
      <c r="A834">
        <v>0.01</v>
      </c>
      <c r="B834" t="s">
        <v>92</v>
      </c>
      <c r="C834">
        <v>-0.59</v>
      </c>
      <c r="D834">
        <v>-0.67766606775796179</v>
      </c>
      <c r="E834">
        <v>9.4248603084854041E-2</v>
      </c>
      <c r="F834">
        <v>337.93756136277619</v>
      </c>
    </row>
    <row r="835" spans="1:6" x14ac:dyDescent="0.3">
      <c r="A835">
        <v>0.01</v>
      </c>
      <c r="B835" t="s">
        <v>92</v>
      </c>
      <c r="C835">
        <v>-0.57999999999999996</v>
      </c>
      <c r="D835">
        <v>-0.66246270737179924</v>
      </c>
      <c r="E835">
        <v>9.3799020582704895E-2</v>
      </c>
      <c r="F835">
        <v>345.11495287871168</v>
      </c>
    </row>
    <row r="836" spans="1:6" x14ac:dyDescent="0.3">
      <c r="A836">
        <v>0.01</v>
      </c>
      <c r="B836" t="s">
        <v>92</v>
      </c>
      <c r="C836">
        <v>-0.56999999999999995</v>
      </c>
      <c r="D836">
        <v>-0.64752284482737277</v>
      </c>
      <c r="E836">
        <v>9.3344519953644498E-2</v>
      </c>
      <c r="F836">
        <v>352.47645420827848</v>
      </c>
    </row>
    <row r="837" spans="1:6" x14ac:dyDescent="0.3">
      <c r="A837">
        <v>0.01</v>
      </c>
      <c r="B837" t="s">
        <v>92</v>
      </c>
      <c r="C837">
        <v>-0.56000000000000005</v>
      </c>
      <c r="D837">
        <v>-0.63283318666563804</v>
      </c>
      <c r="E837">
        <v>9.2884801402149317E-2</v>
      </c>
      <c r="F837">
        <v>360.03277028502544</v>
      </c>
    </row>
    <row r="838" spans="1:6" x14ac:dyDescent="0.3">
      <c r="A838">
        <v>0.01</v>
      </c>
      <c r="B838" t="s">
        <v>92</v>
      </c>
      <c r="C838">
        <v>-0.55000000000000004</v>
      </c>
      <c r="D838">
        <v>-0.61838131357446346</v>
      </c>
      <c r="E838">
        <v>9.2419542430258156E-2</v>
      </c>
      <c r="F838">
        <v>367.79527033689152</v>
      </c>
    </row>
    <row r="839" spans="1:6" x14ac:dyDescent="0.3">
      <c r="A839">
        <v>0.01</v>
      </c>
      <c r="B839" t="s">
        <v>92</v>
      </c>
      <c r="C839">
        <v>-0.54</v>
      </c>
      <c r="D839">
        <v>-0.60415560296226711</v>
      </c>
      <c r="E839">
        <v>9.1948399514567014E-2</v>
      </c>
      <c r="F839">
        <v>375.77605125081396</v>
      </c>
    </row>
    <row r="840" spans="1:6" x14ac:dyDescent="0.3">
      <c r="A840">
        <v>0.01</v>
      </c>
      <c r="B840" t="s">
        <v>92</v>
      </c>
      <c r="C840">
        <v>-0.53</v>
      </c>
      <c r="D840">
        <v>-0.59014515984118854</v>
      </c>
      <c r="E840">
        <v>9.1471077522110408E-2</v>
      </c>
      <c r="F840">
        <v>383.98792799984409</v>
      </c>
    </row>
    <row r="841" spans="1:6" x14ac:dyDescent="0.3">
      <c r="A841">
        <v>0.01</v>
      </c>
      <c r="B841" t="s">
        <v>92</v>
      </c>
      <c r="C841">
        <v>-0.52</v>
      </c>
      <c r="D841">
        <v>-0.57633975496919276</v>
      </c>
      <c r="E841">
        <v>9.0987200838723511E-2</v>
      </c>
      <c r="F841">
        <v>392.44465362261576</v>
      </c>
    </row>
    <row r="842" spans="1:6" x14ac:dyDescent="0.3">
      <c r="A842">
        <v>0.01</v>
      </c>
      <c r="B842" t="s">
        <v>92</v>
      </c>
      <c r="C842">
        <v>-0.51</v>
      </c>
      <c r="D842">
        <v>-0.56272976935214891</v>
      </c>
      <c r="E842">
        <v>9.0496436198510027E-2</v>
      </c>
      <c r="F842">
        <v>401.16086369371186</v>
      </c>
    </row>
    <row r="843" spans="1:6" x14ac:dyDescent="0.3">
      <c r="A843">
        <v>0.01</v>
      </c>
      <c r="B843" t="s">
        <v>92</v>
      </c>
      <c r="C843">
        <v>-0.5</v>
      </c>
      <c r="D843">
        <v>-0.54930614433405489</v>
      </c>
      <c r="E843">
        <v>8.9998385027913838E-2</v>
      </c>
      <c r="F843">
        <v>410.15229646734718</v>
      </c>
    </row>
    <row r="844" spans="1:6" x14ac:dyDescent="0.3">
      <c r="A844">
        <v>0.01</v>
      </c>
      <c r="B844" t="s">
        <v>92</v>
      </c>
      <c r="C844">
        <v>-0.49</v>
      </c>
      <c r="D844">
        <v>-0.53606033661056662</v>
      </c>
      <c r="E844">
        <v>8.9492707145835931E-2</v>
      </c>
      <c r="F844">
        <v>419.43574299441974</v>
      </c>
    </row>
    <row r="845" spans="1:6" x14ac:dyDescent="0.3">
      <c r="A845">
        <v>0.01</v>
      </c>
      <c r="B845" t="s">
        <v>92</v>
      </c>
      <c r="C845">
        <v>-0.48</v>
      </c>
      <c r="D845">
        <v>-0.5229842775913438</v>
      </c>
      <c r="E845">
        <v>8.897899551414197E-2</v>
      </c>
      <c r="F845">
        <v>429.02931778625896</v>
      </c>
    </row>
    <row r="846" spans="1:6" x14ac:dyDescent="0.3">
      <c r="A846">
        <v>0.01</v>
      </c>
      <c r="B846" t="s">
        <v>92</v>
      </c>
      <c r="C846">
        <v>-0.47</v>
      </c>
      <c r="D846">
        <v>-0.51007033661330725</v>
      </c>
      <c r="E846">
        <v>8.8456823788975625E-2</v>
      </c>
      <c r="F846">
        <v>438.95253108775961</v>
      </c>
    </row>
    <row r="847" spans="1:6" x14ac:dyDescent="0.3">
      <c r="A847">
        <v>0.01</v>
      </c>
      <c r="B847" t="s">
        <v>92</v>
      </c>
      <c r="C847">
        <v>-0.46</v>
      </c>
      <c r="D847">
        <v>-0.49731128757203097</v>
      </c>
      <c r="E847">
        <v>8.7925754597410352E-2</v>
      </c>
      <c r="F847">
        <v>449.22642141893067</v>
      </c>
    </row>
    <row r="848" spans="1:6" x14ac:dyDescent="0.3">
      <c r="A848">
        <v>0.01</v>
      </c>
      <c r="B848" t="s">
        <v>92</v>
      </c>
      <c r="C848">
        <v>-0.45</v>
      </c>
      <c r="D848">
        <v>-0.48470027859405168</v>
      </c>
      <c r="E848">
        <v>8.7385383257230956E-2</v>
      </c>
      <c r="F848">
        <v>459.87364922837122</v>
      </c>
    </row>
    <row r="849" spans="1:6" x14ac:dyDescent="0.3">
      <c r="A849">
        <v>0.01</v>
      </c>
      <c r="B849" t="s">
        <v>92</v>
      </c>
      <c r="C849">
        <v>-0.44</v>
      </c>
      <c r="D849">
        <v>-0.47223080442042559</v>
      </c>
      <c r="E849">
        <v>8.6835183105904296E-2</v>
      </c>
      <c r="F849">
        <v>470.91890814364712</v>
      </c>
    </row>
    <row r="850" spans="1:6" x14ac:dyDescent="0.3">
      <c r="A850">
        <v>0.01</v>
      </c>
      <c r="B850" t="s">
        <v>92</v>
      </c>
      <c r="C850">
        <v>-0.43</v>
      </c>
      <c r="D850">
        <v>-0.45989668121267852</v>
      </c>
      <c r="E850">
        <v>8.6274712592211159E-2</v>
      </c>
      <c r="F850">
        <v>482.38882058833235</v>
      </c>
    </row>
    <row r="851" spans="1:6" x14ac:dyDescent="0.3">
      <c r="A851">
        <v>0.01</v>
      </c>
      <c r="B851" t="s">
        <v>92</v>
      </c>
      <c r="C851">
        <v>-0.42</v>
      </c>
      <c r="D851">
        <v>-0.4476920235274206</v>
      </c>
      <c r="E851">
        <v>8.5703409009871709E-2</v>
      </c>
      <c r="F851">
        <v>494.31248864380433</v>
      </c>
    </row>
    <row r="852" spans="1:6" x14ac:dyDescent="0.3">
      <c r="A852">
        <v>0.01</v>
      </c>
      <c r="B852" t="s">
        <v>92</v>
      </c>
      <c r="C852">
        <v>-0.41</v>
      </c>
      <c r="D852">
        <v>-0.43561122323622431</v>
      </c>
      <c r="E852">
        <v>8.5120739946589363E-2</v>
      </c>
      <c r="F852">
        <v>506.7215219936877</v>
      </c>
    </row>
    <row r="853" spans="1:6" x14ac:dyDescent="0.3">
      <c r="A853">
        <v>0.01</v>
      </c>
      <c r="B853" t="s">
        <v>92</v>
      </c>
      <c r="C853">
        <v>-0.4</v>
      </c>
      <c r="D853">
        <v>-0.42364893019360178</v>
      </c>
      <c r="E853">
        <v>8.4526123824330709E-2</v>
      </c>
      <c r="F853">
        <v>519.65046682577531</v>
      </c>
    </row>
    <row r="854" spans="1:6" x14ac:dyDescent="0.3">
      <c r="A854">
        <v>0.01</v>
      </c>
      <c r="B854" t="s">
        <v>92</v>
      </c>
      <c r="C854">
        <v>-0.39</v>
      </c>
      <c r="D854">
        <v>-0.41180003447869035</v>
      </c>
      <c r="E854">
        <v>8.3918939988376948E-2</v>
      </c>
      <c r="F854">
        <v>533.13713850779823</v>
      </c>
    </row>
    <row r="855" spans="1:6" x14ac:dyDescent="0.3">
      <c r="A855">
        <v>0.01</v>
      </c>
      <c r="B855" t="s">
        <v>92</v>
      </c>
      <c r="C855">
        <v>-0.38</v>
      </c>
      <c r="D855">
        <v>-0.40005965005605654</v>
      </c>
      <c r="E855">
        <v>8.3298555215831627E-2</v>
      </c>
      <c r="F855">
        <v>547.22296815321931</v>
      </c>
    </row>
    <row r="856" spans="1:6" x14ac:dyDescent="0.3">
      <c r="A856">
        <v>0.01</v>
      </c>
      <c r="B856" t="s">
        <v>92</v>
      </c>
      <c r="C856">
        <v>-0.37</v>
      </c>
      <c r="D856">
        <v>-0.38842309971829614</v>
      </c>
      <c r="E856">
        <v>8.2664266209357476E-2</v>
      </c>
      <c r="F856">
        <v>561.95356842447279</v>
      </c>
    </row>
    <row r="857" spans="1:6" x14ac:dyDescent="0.3">
      <c r="A857">
        <v>0.01</v>
      </c>
      <c r="B857" t="s">
        <v>92</v>
      </c>
      <c r="C857">
        <v>-0.36</v>
      </c>
      <c r="D857">
        <v>-0.37688590118819004</v>
      </c>
      <c r="E857">
        <v>8.2015344245631769E-2</v>
      </c>
      <c r="F857">
        <v>577.37917786608784</v>
      </c>
    </row>
    <row r="858" spans="1:6" x14ac:dyDescent="0.3">
      <c r="A858">
        <v>0.01</v>
      </c>
      <c r="B858" t="s">
        <v>92</v>
      </c>
      <c r="C858">
        <v>-0.35</v>
      </c>
      <c r="D858">
        <v>-0.36544375427139619</v>
      </c>
      <c r="E858">
        <v>8.1350996518835442E-2</v>
      </c>
      <c r="F858">
        <v>593.55535202857004</v>
      </c>
    </row>
    <row r="859" spans="1:6" x14ac:dyDescent="0.3">
      <c r="A859">
        <v>0.01</v>
      </c>
      <c r="B859" t="s">
        <v>92</v>
      </c>
      <c r="C859">
        <v>-0.34</v>
      </c>
      <c r="D859">
        <v>-0.35409252896224297</v>
      </c>
      <c r="E859">
        <v>8.0670394478353738E-2</v>
      </c>
      <c r="F859">
        <v>610.5436177671462</v>
      </c>
    </row>
    <row r="860" spans="1:6" x14ac:dyDescent="0.3">
      <c r="A860">
        <v>0.01</v>
      </c>
      <c r="B860" t="s">
        <v>92</v>
      </c>
      <c r="C860">
        <v>-0.33</v>
      </c>
      <c r="D860">
        <v>-0.34282825441539394</v>
      </c>
      <c r="E860">
        <v>7.9972621633272137E-2</v>
      </c>
      <c r="F860">
        <v>628.41242643938654</v>
      </c>
    </row>
    <row r="861" spans="1:6" x14ac:dyDescent="0.3">
      <c r="A861">
        <v>0.01</v>
      </c>
      <c r="B861" t="s">
        <v>92</v>
      </c>
      <c r="C861">
        <v>-0.32</v>
      </c>
      <c r="D861">
        <v>-0.3316471087051322</v>
      </c>
      <c r="E861">
        <v>7.925673508161292E-2</v>
      </c>
      <c r="F861">
        <v>647.23799157003032</v>
      </c>
    </row>
    <row r="862" spans="1:6" x14ac:dyDescent="0.3">
      <c r="A862">
        <v>0.01</v>
      </c>
      <c r="B862" t="s">
        <v>92</v>
      </c>
      <c r="C862">
        <v>-0.31</v>
      </c>
      <c r="D862">
        <v>-0.32054540930194608</v>
      </c>
      <c r="E862">
        <v>7.8521684077606901E-2</v>
      </c>
      <c r="F862">
        <v>667.1056415322256</v>
      </c>
    </row>
    <row r="863" spans="1:6" x14ac:dyDescent="0.3">
      <c r="A863">
        <v>0.01</v>
      </c>
      <c r="B863" t="s">
        <v>92</v>
      </c>
      <c r="C863">
        <v>-0.3</v>
      </c>
      <c r="D863">
        <v>-0.30951960420311175</v>
      </c>
      <c r="E863">
        <v>7.7766357341789605E-2</v>
      </c>
      <c r="F863">
        <v>688.11107818098105</v>
      </c>
    </row>
    <row r="864" spans="1:6" x14ac:dyDescent="0.3">
      <c r="A864">
        <v>0.01</v>
      </c>
      <c r="B864" t="s">
        <v>92</v>
      </c>
      <c r="C864">
        <v>-0.28999999999999998</v>
      </c>
      <c r="D864">
        <v>-0.29856626366017835</v>
      </c>
      <c r="E864">
        <v>7.6989552207605116E-2</v>
      </c>
      <c r="F864">
        <v>710.36208885444159</v>
      </c>
    </row>
    <row r="865" spans="1:6" x14ac:dyDescent="0.3">
      <c r="A865">
        <v>0.01</v>
      </c>
      <c r="B865" t="s">
        <v>92</v>
      </c>
      <c r="C865">
        <v>-0.28000000000000003</v>
      </c>
      <c r="D865">
        <v>-0.2876820724517809</v>
      </c>
      <c r="E865">
        <v>7.6189946570527856E-2</v>
      </c>
      <c r="F865">
        <v>733.98059210713291</v>
      </c>
    </row>
    <row r="866" spans="1:6" x14ac:dyDescent="0.3">
      <c r="A866">
        <v>0.01</v>
      </c>
      <c r="B866" t="s">
        <v>92</v>
      </c>
      <c r="C866">
        <v>-0.27</v>
      </c>
      <c r="D866">
        <v>-0.27686382265510007</v>
      </c>
      <c r="E866">
        <v>7.5366118250684996E-2</v>
      </c>
      <c r="F866">
        <v>759.10494808888723</v>
      </c>
    </row>
    <row r="867" spans="1:6" x14ac:dyDescent="0.3">
      <c r="A867">
        <v>0.01</v>
      </c>
      <c r="B867" t="s">
        <v>92</v>
      </c>
      <c r="C867">
        <v>-0.26</v>
      </c>
      <c r="D867">
        <v>-0.26610840687365411</v>
      </c>
      <c r="E867">
        <v>7.4516520053524785E-2</v>
      </c>
      <c r="F867">
        <v>785.89289643843824</v>
      </c>
    </row>
    <row r="868" spans="1:6" x14ac:dyDescent="0.3">
      <c r="A868">
        <v>0.01</v>
      </c>
      <c r="B868" t="s">
        <v>92</v>
      </c>
      <c r="C868">
        <v>-0.25</v>
      </c>
      <c r="D868">
        <v>-0.25541281188299536</v>
      </c>
      <c r="E868">
        <v>7.3639472157160143E-2</v>
      </c>
      <c r="F868">
        <v>814.52507466523309</v>
      </c>
    </row>
    <row r="869" spans="1:6" x14ac:dyDescent="0.3">
      <c r="A869">
        <v>0.01</v>
      </c>
      <c r="B869" t="s">
        <v>92</v>
      </c>
      <c r="C869">
        <v>-0.24</v>
      </c>
      <c r="D869">
        <v>-0.24477411265935289</v>
      </c>
      <c r="E869">
        <v>7.273308428133983E-2</v>
      </c>
      <c r="F869">
        <v>845.20960581639918</v>
      </c>
    </row>
    <row r="870" spans="1:6" x14ac:dyDescent="0.3">
      <c r="A870">
        <v>0.01</v>
      </c>
      <c r="B870" t="s">
        <v>92</v>
      </c>
      <c r="C870">
        <v>-0.23</v>
      </c>
      <c r="D870">
        <v>-0.23418946675936678</v>
      </c>
      <c r="E870">
        <v>7.1795341083427361E-2</v>
      </c>
      <c r="F870">
        <v>878.18711554599508</v>
      </c>
    </row>
    <row r="871" spans="1:6" x14ac:dyDescent="0.3">
      <c r="A871">
        <v>0.01</v>
      </c>
      <c r="B871" t="s">
        <v>92</v>
      </c>
      <c r="C871">
        <v>-0.22</v>
      </c>
      <c r="D871">
        <v>-0.22365610902183239</v>
      </c>
      <c r="E871">
        <v>7.0823958243619173E-2</v>
      </c>
      <c r="F871">
        <v>913.73794432773866</v>
      </c>
    </row>
    <row r="872" spans="1:6" x14ac:dyDescent="0.3">
      <c r="A872">
        <v>0.01</v>
      </c>
      <c r="B872" t="s">
        <v>92</v>
      </c>
      <c r="C872">
        <v>-0.21</v>
      </c>
      <c r="D872">
        <v>-0.21317134656485975</v>
      </c>
      <c r="E872">
        <v>6.981643087060696E-2</v>
      </c>
      <c r="F872">
        <v>952.19036722625583</v>
      </c>
    </row>
    <row r="873" spans="1:6" x14ac:dyDescent="0.3">
      <c r="A873">
        <v>0.01</v>
      </c>
      <c r="B873" t="s">
        <v>92</v>
      </c>
      <c r="C873">
        <v>-0.2</v>
      </c>
      <c r="D873">
        <v>-0.20273255405408214</v>
      </c>
      <c r="E873">
        <v>6.8769970637969205E-2</v>
      </c>
      <c r="F873">
        <v>993.93153666071942</v>
      </c>
    </row>
    <row r="874" spans="1:6" x14ac:dyDescent="0.3">
      <c r="A874">
        <v>0.01</v>
      </c>
      <c r="B874" t="s">
        <v>92</v>
      </c>
      <c r="C874">
        <v>-0.19</v>
      </c>
      <c r="D874">
        <v>-0.1923371692195453</v>
      </c>
      <c r="E874">
        <v>6.7681435745049146E-2</v>
      </c>
      <c r="F874">
        <v>1039.4215684217577</v>
      </c>
    </row>
    <row r="875" spans="1:6" x14ac:dyDescent="0.3">
      <c r="A875">
        <v>0.01</v>
      </c>
      <c r="B875" t="s">
        <v>92</v>
      </c>
      <c r="C875">
        <v>-0.18</v>
      </c>
      <c r="D875">
        <v>-0.18198268860070579</v>
      </c>
      <c r="E875">
        <v>6.6547308614047354E-2</v>
      </c>
      <c r="F875">
        <v>1089.2115389674584</v>
      </c>
    </row>
    <row r="876" spans="1:6" x14ac:dyDescent="0.3">
      <c r="A876">
        <v>0.01</v>
      </c>
      <c r="B876" t="s">
        <v>92</v>
      </c>
      <c r="C876">
        <v>-0.17</v>
      </c>
      <c r="D876">
        <v>-0.17166666350057908</v>
      </c>
      <c r="E876">
        <v>6.5363584925376292E-2</v>
      </c>
      <c r="F876">
        <v>1143.9676474200303</v>
      </c>
    </row>
    <row r="877" spans="1:6" x14ac:dyDescent="0.3">
      <c r="A877">
        <v>0.01</v>
      </c>
      <c r="B877" t="s">
        <v>92</v>
      </c>
      <c r="C877">
        <v>-0.16</v>
      </c>
      <c r="D877">
        <v>-0.16138669613152551</v>
      </c>
      <c r="E877">
        <v>6.4125713112205274E-2</v>
      </c>
      <c r="F877">
        <v>1204.5030525798286</v>
      </c>
    </row>
    <row r="878" spans="1:6" x14ac:dyDescent="0.3">
      <c r="A878">
        <v>0.01</v>
      </c>
      <c r="B878" t="s">
        <v>92</v>
      </c>
      <c r="C878">
        <v>-0.15</v>
      </c>
      <c r="D878">
        <v>-0.15114043593646675</v>
      </c>
      <c r="E878">
        <v>6.2828437972263784E-2</v>
      </c>
      <c r="F878">
        <v>1271.821583715184</v>
      </c>
    </row>
    <row r="879" spans="1:6" x14ac:dyDescent="0.3">
      <c r="A879">
        <v>0.01</v>
      </c>
      <c r="B879" t="s">
        <v>92</v>
      </c>
      <c r="C879">
        <v>-0.14000000000000001</v>
      </c>
      <c r="D879">
        <v>-0.14092557607049394</v>
      </c>
      <c r="E879">
        <v>6.1465711183320289E-2</v>
      </c>
      <c r="F879">
        <v>1347.1772745607541</v>
      </c>
    </row>
    <row r="880" spans="1:6" x14ac:dyDescent="0.3">
      <c r="A880">
        <v>0.01</v>
      </c>
      <c r="B880" t="s">
        <v>92</v>
      </c>
      <c r="C880">
        <v>-0.13</v>
      </c>
      <c r="D880">
        <v>-0.13073985002887836</v>
      </c>
      <c r="E880">
        <v>6.0030423046359416E-2</v>
      </c>
      <c r="F880">
        <v>1432.1592878339898</v>
      </c>
    </row>
    <row r="881" spans="1:6" x14ac:dyDescent="0.3">
      <c r="A881">
        <v>0.01</v>
      </c>
      <c r="B881" t="s">
        <v>92</v>
      </c>
      <c r="C881">
        <v>-0.12</v>
      </c>
      <c r="D881">
        <v>-0.12058102840844405</v>
      </c>
      <c r="E881">
        <v>5.8514184743150816E-2</v>
      </c>
      <c r="F881">
        <v>1528.8129627268102</v>
      </c>
    </row>
    <row r="882" spans="1:6" x14ac:dyDescent="0.3">
      <c r="A882">
        <v>0.01</v>
      </c>
      <c r="B882" t="s">
        <v>92</v>
      </c>
      <c r="C882">
        <v>-0.11</v>
      </c>
      <c r="D882">
        <v>-0.1104469157900972</v>
      </c>
      <c r="E882">
        <v>5.6906948085827011E-2</v>
      </c>
      <c r="F882">
        <v>1639.8189711767368</v>
      </c>
    </row>
    <row r="883" spans="1:6" x14ac:dyDescent="0.3">
      <c r="A883">
        <v>0.01</v>
      </c>
      <c r="B883" t="s">
        <v>92</v>
      </c>
      <c r="C883">
        <v>-0.1</v>
      </c>
      <c r="D883">
        <v>-0.10033534773107562</v>
      </c>
      <c r="E883">
        <v>5.519650305490556E-2</v>
      </c>
      <c r="F883">
        <v>1768.7648980367917</v>
      </c>
    </row>
    <row r="884" spans="1:6" x14ac:dyDescent="0.3">
      <c r="A884">
        <v>0.01</v>
      </c>
      <c r="B884" t="s">
        <v>92</v>
      </c>
      <c r="C884">
        <v>-0.09</v>
      </c>
      <c r="D884">
        <v>-9.0244187856146837E-2</v>
      </c>
      <c r="E884">
        <v>5.336778203222655E-2</v>
      </c>
      <c r="F884">
        <v>1920.5707701800709</v>
      </c>
    </row>
    <row r="885" spans="1:6" x14ac:dyDescent="0.3">
      <c r="A885">
        <v>0.01</v>
      </c>
      <c r="B885" t="s">
        <v>92</v>
      </c>
      <c r="C885">
        <v>-0.08</v>
      </c>
      <c r="D885">
        <v>-8.0171325037589683E-2</v>
      </c>
      <c r="E885">
        <v>5.1401728761840008E-2</v>
      </c>
      <c r="F885">
        <v>2102.1846102041432</v>
      </c>
    </row>
    <row r="886" spans="1:6" x14ac:dyDescent="0.3">
      <c r="A886">
        <v>0.01</v>
      </c>
      <c r="B886" t="s">
        <v>92</v>
      </c>
      <c r="C886">
        <v>-7.0000000000000007E-2</v>
      </c>
      <c r="D886">
        <v>-7.0114670654325195E-2</v>
      </c>
      <c r="E886">
        <v>4.9273764206976225E-2</v>
      </c>
      <c r="F886">
        <v>2323.7679317667216</v>
      </c>
    </row>
    <row r="887" spans="1:6" x14ac:dyDescent="0.3">
      <c r="A887">
        <v>0.01</v>
      </c>
      <c r="B887" t="s">
        <v>92</v>
      </c>
      <c r="C887">
        <v>-0.06</v>
      </c>
      <c r="D887">
        <v>-6.007215592103167E-2</v>
      </c>
      <c r="E887">
        <v>4.6950997107350498E-2</v>
      </c>
      <c r="F887">
        <v>2600.8475052145186</v>
      </c>
    </row>
    <row r="888" spans="1:6" x14ac:dyDescent="0.3">
      <c r="A888">
        <v>0.01</v>
      </c>
      <c r="B888" t="s">
        <v>92</v>
      </c>
      <c r="C888">
        <v>-0.05</v>
      </c>
      <c r="D888">
        <v>-5.0041729278491327E-2</v>
      </c>
      <c r="E888">
        <v>4.4387810126992951E-2</v>
      </c>
      <c r="F888">
        <v>2958.4932268860862</v>
      </c>
    </row>
    <row r="889" spans="1:6" x14ac:dyDescent="0.3">
      <c r="A889">
        <v>0.01</v>
      </c>
      <c r="B889" t="s">
        <v>92</v>
      </c>
      <c r="C889">
        <v>-0.04</v>
      </c>
      <c r="D889">
        <v>-4.0021353836768248E-2</v>
      </c>
      <c r="E889">
        <v>4.1517312727301102E-2</v>
      </c>
      <c r="F889">
        <v>3440.2466569505705</v>
      </c>
    </row>
    <row r="890" spans="1:6" x14ac:dyDescent="0.3">
      <c r="A890">
        <v>0.01</v>
      </c>
      <c r="B890" t="s">
        <v>92</v>
      </c>
      <c r="C890">
        <v>-0.03</v>
      </c>
      <c r="D890">
        <v>-3.000900486312652E-2</v>
      </c>
      <c r="E890">
        <v>3.8233957743684294E-2</v>
      </c>
      <c r="F890">
        <v>4129.7442173546297</v>
      </c>
    </row>
    <row r="891" spans="1:6" x14ac:dyDescent="0.3">
      <c r="A891">
        <v>0.01</v>
      </c>
      <c r="B891" t="s">
        <v>92</v>
      </c>
      <c r="C891">
        <v>-0.02</v>
      </c>
      <c r="D891">
        <v>-2.0002667306849624E-2</v>
      </c>
      <c r="E891">
        <v>3.4351579518295192E-2</v>
      </c>
      <c r="F891">
        <v>5213.6469629277299</v>
      </c>
    </row>
    <row r="892" spans="1:6" x14ac:dyDescent="0.3">
      <c r="A892">
        <v>0.01</v>
      </c>
      <c r="B892" t="s">
        <v>92</v>
      </c>
      <c r="C892">
        <v>-0.01</v>
      </c>
      <c r="D892">
        <v>-1.0000333353334771E-2</v>
      </c>
      <c r="E892">
        <v>2.9473596300282082E-2</v>
      </c>
      <c r="F892">
        <v>7228.7949165532809</v>
      </c>
    </row>
    <row r="893" spans="1:6" x14ac:dyDescent="0.3">
      <c r="A893">
        <v>0.1</v>
      </c>
      <c r="B893" t="s">
        <v>93</v>
      </c>
      <c r="C893">
        <v>-0.99</v>
      </c>
      <c r="D893">
        <v>-2.6466524123622457</v>
      </c>
      <c r="E893">
        <v>7.823908776053895E-2</v>
      </c>
      <c r="F893">
        <v>32.984410374739198</v>
      </c>
    </row>
    <row r="894" spans="1:6" x14ac:dyDescent="0.3">
      <c r="A894">
        <v>0.1</v>
      </c>
      <c r="B894" t="s">
        <v>93</v>
      </c>
      <c r="C894">
        <v>-0.98</v>
      </c>
      <c r="D894">
        <v>-2.2975599250672945</v>
      </c>
      <c r="E894">
        <v>7.7845568969107437E-2</v>
      </c>
      <c r="F894">
        <v>37.464176711690094</v>
      </c>
    </row>
    <row r="895" spans="1:6" x14ac:dyDescent="0.3">
      <c r="A895">
        <v>0.1</v>
      </c>
      <c r="B895" t="s">
        <v>93</v>
      </c>
      <c r="C895">
        <v>-0.97</v>
      </c>
      <c r="D895">
        <v>-2.0922957200349388</v>
      </c>
      <c r="E895">
        <v>7.7557798777249359E-2</v>
      </c>
      <c r="F895">
        <v>40.783636230115405</v>
      </c>
    </row>
    <row r="896" spans="1:6" x14ac:dyDescent="0.3">
      <c r="A896">
        <v>0.1</v>
      </c>
      <c r="B896" t="s">
        <v>93</v>
      </c>
      <c r="C896">
        <v>-0.96</v>
      </c>
      <c r="D896">
        <v>-1.9459101490553128</v>
      </c>
      <c r="E896">
        <v>7.731862456781316E-2</v>
      </c>
      <c r="F896">
        <v>43.570545887764887</v>
      </c>
    </row>
    <row r="897" spans="1:6" x14ac:dyDescent="0.3">
      <c r="A897">
        <v>0.1</v>
      </c>
      <c r="B897" t="s">
        <v>93</v>
      </c>
      <c r="C897">
        <v>-0.95</v>
      </c>
      <c r="D897">
        <v>-1.8317808230648227</v>
      </c>
      <c r="E897">
        <v>7.7108018261006869E-2</v>
      </c>
      <c r="F897">
        <v>46.046123913142935</v>
      </c>
    </row>
    <row r="898" spans="1:6" x14ac:dyDescent="0.3">
      <c r="A898">
        <v>0.1</v>
      </c>
      <c r="B898" t="s">
        <v>93</v>
      </c>
      <c r="C898">
        <v>-0.94</v>
      </c>
      <c r="D898">
        <v>-1.7380493449176362</v>
      </c>
      <c r="E898">
        <v>7.6916308335722397E-2</v>
      </c>
      <c r="F898">
        <v>48.317248809591206</v>
      </c>
    </row>
    <row r="899" spans="1:6" x14ac:dyDescent="0.3">
      <c r="A899">
        <v>0.1</v>
      </c>
      <c r="B899" t="s">
        <v>93</v>
      </c>
      <c r="C899">
        <v>-0.93</v>
      </c>
      <c r="D899">
        <v>-1.6583900199247865</v>
      </c>
      <c r="E899">
        <v>7.6738025498963011E-2</v>
      </c>
      <c r="F899">
        <v>50.444742095667571</v>
      </c>
    </row>
    <row r="900" spans="1:6" x14ac:dyDescent="0.3">
      <c r="A900">
        <v>0.1</v>
      </c>
      <c r="B900" t="s">
        <v>93</v>
      </c>
      <c r="C900">
        <v>-0.92</v>
      </c>
      <c r="D900">
        <v>-1.5890269151739731</v>
      </c>
      <c r="E900">
        <v>7.656969412953403E-2</v>
      </c>
      <c r="F900">
        <v>52.466992597173764</v>
      </c>
    </row>
    <row r="901" spans="1:6" x14ac:dyDescent="0.3">
      <c r="A901">
        <v>0.1</v>
      </c>
      <c r="B901" t="s">
        <v>93</v>
      </c>
      <c r="C901">
        <v>-0.91</v>
      </c>
      <c r="D901">
        <v>-1.5275244253552054</v>
      </c>
      <c r="E901">
        <v>7.6408999445961634E-2</v>
      </c>
      <c r="F901">
        <v>54.410027421897603</v>
      </c>
    </row>
    <row r="902" spans="1:6" x14ac:dyDescent="0.3">
      <c r="A902">
        <v>0.1</v>
      </c>
      <c r="B902" t="s">
        <v>93</v>
      </c>
      <c r="C902">
        <v>-0.9</v>
      </c>
      <c r="D902">
        <v>-1.4722194895832204</v>
      </c>
      <c r="E902">
        <v>7.6254280950779851E-2</v>
      </c>
      <c r="F902">
        <v>56.292478660121468</v>
      </c>
    </row>
    <row r="903" spans="1:6" x14ac:dyDescent="0.3">
      <c r="A903">
        <v>0.1</v>
      </c>
      <c r="B903" t="s">
        <v>93</v>
      </c>
      <c r="C903">
        <v>-0.89</v>
      </c>
      <c r="D903">
        <v>-1.421925871130636</v>
      </c>
      <c r="E903">
        <v>7.6104297683743841E-2</v>
      </c>
      <c r="F903">
        <v>58.128261230760828</v>
      </c>
    </row>
    <row r="904" spans="1:6" x14ac:dyDescent="0.3">
      <c r="A904">
        <v>0.1</v>
      </c>
      <c r="B904" t="s">
        <v>93</v>
      </c>
      <c r="C904">
        <v>-0.88</v>
      </c>
      <c r="D904">
        <v>-1.3757676565209744</v>
      </c>
      <c r="E904">
        <v>7.5958106836903697E-2</v>
      </c>
      <c r="F904">
        <v>59.928127331501152</v>
      </c>
    </row>
    <row r="905" spans="1:6" x14ac:dyDescent="0.3">
      <c r="A905">
        <v>0.1</v>
      </c>
      <c r="B905" t="s">
        <v>93</v>
      </c>
      <c r="C905">
        <v>-0.87</v>
      </c>
      <c r="D905">
        <v>-1.333079629696525</v>
      </c>
      <c r="E905">
        <v>7.5814951570850581E-2</v>
      </c>
      <c r="F905">
        <v>61.700636780131646</v>
      </c>
    </row>
    <row r="906" spans="1:6" x14ac:dyDescent="0.3">
      <c r="A906">
        <v>0.1</v>
      </c>
      <c r="B906" t="s">
        <v>93</v>
      </c>
      <c r="C906">
        <v>-0.86</v>
      </c>
      <c r="D906">
        <v>-1.2933446720489712</v>
      </c>
      <c r="E906">
        <v>7.5674238247663173E-2</v>
      </c>
      <c r="F906">
        <v>63.452768287687668</v>
      </c>
    </row>
    <row r="907" spans="1:6" x14ac:dyDescent="0.3">
      <c r="A907">
        <v>0.1</v>
      </c>
      <c r="B907" t="s">
        <v>93</v>
      </c>
      <c r="C907">
        <v>-0.85</v>
      </c>
      <c r="D907">
        <v>-1.2561528119880574</v>
      </c>
      <c r="E907">
        <v>7.5535463904296926E-2</v>
      </c>
      <c r="F907">
        <v>65.19034851800896</v>
      </c>
    </row>
    <row r="908" spans="1:6" x14ac:dyDescent="0.3">
      <c r="A908">
        <v>0.1</v>
      </c>
      <c r="B908" t="s">
        <v>93</v>
      </c>
      <c r="C908">
        <v>-0.84</v>
      </c>
      <c r="D908">
        <v>-1.2211735176846021</v>
      </c>
      <c r="E908">
        <v>7.539821288069308E-2</v>
      </c>
      <c r="F908">
        <v>66.918334376058041</v>
      </c>
    </row>
    <row r="909" spans="1:6" x14ac:dyDescent="0.3">
      <c r="A909">
        <v>0.1</v>
      </c>
      <c r="B909" t="s">
        <v>93</v>
      </c>
      <c r="C909">
        <v>-0.83</v>
      </c>
      <c r="D909">
        <v>-1.1881364043926024</v>
      </c>
      <c r="E909">
        <v>7.5262123024850094E-2</v>
      </c>
      <c r="F909">
        <v>68.641025090432194</v>
      </c>
    </row>
    <row r="910" spans="1:6" x14ac:dyDescent="0.3">
      <c r="A910">
        <v>0.1</v>
      </c>
      <c r="B910" t="s">
        <v>93</v>
      </c>
      <c r="C910">
        <v>-0.82</v>
      </c>
      <c r="D910">
        <v>-1.1568174645903151</v>
      </c>
      <c r="E910">
        <v>7.512687818816266E-2</v>
      </c>
      <c r="F910">
        <v>70.362211447779288</v>
      </c>
    </row>
    <row r="911" spans="1:6" x14ac:dyDescent="0.3">
      <c r="A911">
        <v>0.1</v>
      </c>
      <c r="B911" t="s">
        <v>93</v>
      </c>
      <c r="C911">
        <v>-0.81</v>
      </c>
      <c r="D911">
        <v>-1.1270290260496929</v>
      </c>
      <c r="E911">
        <v>7.4992222932080035E-2</v>
      </c>
      <c r="F911">
        <v>72.08527893827987</v>
      </c>
    </row>
    <row r="912" spans="1:6" x14ac:dyDescent="0.3">
      <c r="A912">
        <v>0.1</v>
      </c>
      <c r="B912" t="s">
        <v>93</v>
      </c>
      <c r="C912">
        <v>-0.8</v>
      </c>
      <c r="D912">
        <v>-1.0986122886681098</v>
      </c>
      <c r="E912">
        <v>7.4857896406801683E-2</v>
      </c>
      <c r="F912">
        <v>73.813316657683387</v>
      </c>
    </row>
    <row r="913" spans="1:6" x14ac:dyDescent="0.3">
      <c r="A913">
        <v>0.1</v>
      </c>
      <c r="B913" t="s">
        <v>93</v>
      </c>
      <c r="C913">
        <v>-0.79</v>
      </c>
      <c r="D913">
        <v>-1.0714316840586662</v>
      </c>
      <c r="E913">
        <v>7.4723699238558802E-2</v>
      </c>
      <c r="F913">
        <v>75.549155419193866</v>
      </c>
    </row>
    <row r="914" spans="1:6" x14ac:dyDescent="0.3">
      <c r="A914">
        <v>0.1</v>
      </c>
      <c r="B914" t="s">
        <v>93</v>
      </c>
      <c r="C914">
        <v>-0.78</v>
      </c>
      <c r="D914">
        <v>-1.0453705484668847</v>
      </c>
      <c r="E914">
        <v>7.4589409305205079E-2</v>
      </c>
      <c r="F914">
        <v>77.295453076234466</v>
      </c>
    </row>
    <row r="915" spans="1:6" x14ac:dyDescent="0.3">
      <c r="A915">
        <v>0.1</v>
      </c>
      <c r="B915" t="s">
        <v>93</v>
      </c>
      <c r="C915">
        <v>-0.77</v>
      </c>
      <c r="D915">
        <v>-1.0203277583223398</v>
      </c>
      <c r="E915">
        <v>7.445484711694024E-2</v>
      </c>
      <c r="F915">
        <v>79.054708668004125</v>
      </c>
    </row>
    <row r="916" spans="1:6" x14ac:dyDescent="0.3">
      <c r="A916">
        <v>0.1</v>
      </c>
      <c r="B916" t="s">
        <v>93</v>
      </c>
      <c r="C916">
        <v>-0.76</v>
      </c>
      <c r="D916">
        <v>-0.99621508234510314</v>
      </c>
      <c r="E916">
        <v>7.4319864968621932E-2</v>
      </c>
      <c r="F916">
        <v>80.829299235546671</v>
      </c>
    </row>
    <row r="917" spans="1:6" x14ac:dyDescent="0.3">
      <c r="A917">
        <v>0.1</v>
      </c>
      <c r="B917" t="s">
        <v>93</v>
      </c>
      <c r="C917">
        <v>-0.75</v>
      </c>
      <c r="D917">
        <v>-0.97295507452765673</v>
      </c>
      <c r="E917">
        <v>7.4184265307008695E-2</v>
      </c>
      <c r="F917">
        <v>82.621544760546328</v>
      </c>
    </row>
    <row r="918" spans="1:6" x14ac:dyDescent="0.3">
      <c r="A918">
        <v>0.1</v>
      </c>
      <c r="B918" t="s">
        <v>93</v>
      </c>
      <c r="C918">
        <v>-0.74</v>
      </c>
      <c r="D918">
        <v>-0.95047938059652348</v>
      </c>
      <c r="E918">
        <v>7.4047912232468052E-2</v>
      </c>
      <c r="F918">
        <v>84.433681530835841</v>
      </c>
    </row>
    <row r="919" spans="1:6" x14ac:dyDescent="0.3">
      <c r="A919">
        <v>0.1</v>
      </c>
      <c r="B919" t="s">
        <v>93</v>
      </c>
      <c r="C919">
        <v>-0.73</v>
      </c>
      <c r="D919">
        <v>-0.92872736424672497</v>
      </c>
      <c r="E919">
        <v>7.3910682640450573E-2</v>
      </c>
      <c r="F919">
        <v>86.267903242845264</v>
      </c>
    </row>
    <row r="920" spans="1:6" x14ac:dyDescent="0.3">
      <c r="A920">
        <v>0.1</v>
      </c>
      <c r="B920" t="s">
        <v>93</v>
      </c>
      <c r="C920">
        <v>-0.72</v>
      </c>
      <c r="D920">
        <v>-0.90764498331912458</v>
      </c>
      <c r="E920">
        <v>7.377237992563615E-2</v>
      </c>
      <c r="F920">
        <v>88.126421972080635</v>
      </c>
    </row>
    <row r="921" spans="1:6" x14ac:dyDescent="0.3">
      <c r="A921">
        <v>0.1</v>
      </c>
      <c r="B921" t="s">
        <v>93</v>
      </c>
      <c r="C921">
        <v>-0.71</v>
      </c>
      <c r="D921">
        <v>-0.88718386325809284</v>
      </c>
      <c r="E921">
        <v>7.3632928449802723E-2</v>
      </c>
      <c r="F921">
        <v>90.011387939772817</v>
      </c>
    </row>
    <row r="922" spans="1:6" x14ac:dyDescent="0.3">
      <c r="A922">
        <v>0.1</v>
      </c>
      <c r="B922" t="s">
        <v>93</v>
      </c>
      <c r="C922">
        <v>-0.7</v>
      </c>
      <c r="D922">
        <v>-0.86730052769405308</v>
      </c>
      <c r="E922">
        <v>7.3492134709465584E-2</v>
      </c>
      <c r="F922">
        <v>91.925023511162962</v>
      </c>
    </row>
    <row r="923" spans="1:6" x14ac:dyDescent="0.3">
      <c r="A923">
        <v>0.1</v>
      </c>
      <c r="B923" t="s">
        <v>93</v>
      </c>
      <c r="C923">
        <v>-0.69</v>
      </c>
      <c r="D923">
        <v>-0.84795575521896349</v>
      </c>
      <c r="E923">
        <v>7.3349904752800482E-2</v>
      </c>
      <c r="F923">
        <v>93.86952572078448</v>
      </c>
    </row>
    <row r="924" spans="1:6" x14ac:dyDescent="0.3">
      <c r="A924">
        <v>0.1</v>
      </c>
      <c r="B924" t="s">
        <v>93</v>
      </c>
      <c r="C924">
        <v>-0.68</v>
      </c>
      <c r="D924">
        <v>-0.82911403830176633</v>
      </c>
      <c r="E924">
        <v>7.3206107700707831E-2</v>
      </c>
      <c r="F924">
        <v>95.847148677916124</v>
      </c>
    </row>
    <row r="925" spans="1:6" x14ac:dyDescent="0.3">
      <c r="A925">
        <v>0.1</v>
      </c>
      <c r="B925" t="s">
        <v>93</v>
      </c>
      <c r="C925">
        <v>-0.67</v>
      </c>
      <c r="D925">
        <v>-0.81074312547513749</v>
      </c>
      <c r="E925">
        <v>7.306058013875176E-2</v>
      </c>
      <c r="F925">
        <v>97.860215649653725</v>
      </c>
    </row>
    <row r="926" spans="1:6" x14ac:dyDescent="0.3">
      <c r="A926">
        <v>0.1</v>
      </c>
      <c r="B926" t="s">
        <v>93</v>
      </c>
      <c r="C926">
        <v>-0.66</v>
      </c>
      <c r="D926">
        <v>-0.79281363187019105</v>
      </c>
      <c r="E926">
        <v>7.2913224048966524E-2</v>
      </c>
      <c r="F926">
        <v>99.911075637605776</v>
      </c>
    </row>
    <row r="927" spans="1:6" x14ac:dyDescent="0.3">
      <c r="A927">
        <v>0.1</v>
      </c>
      <c r="B927" t="s">
        <v>93</v>
      </c>
      <c r="C927">
        <v>-0.65</v>
      </c>
      <c r="D927">
        <v>-0.7752987062055835</v>
      </c>
      <c r="E927">
        <v>7.2763890092552561E-2</v>
      </c>
      <c r="F927">
        <v>102.00218070225391</v>
      </c>
    </row>
    <row r="928" spans="1:6" x14ac:dyDescent="0.3">
      <c r="A928">
        <v>0.1</v>
      </c>
      <c r="B928" t="s">
        <v>93</v>
      </c>
      <c r="C928">
        <v>-0.64</v>
      </c>
      <c r="D928">
        <v>-0.7581737446840443</v>
      </c>
      <c r="E928">
        <v>7.2612425272868111E-2</v>
      </c>
      <c r="F928">
        <v>104.13607201188529</v>
      </c>
    </row>
    <row r="929" spans="1:6" x14ac:dyDescent="0.3">
      <c r="A929">
        <v>0.1</v>
      </c>
      <c r="B929" t="s">
        <v>93</v>
      </c>
      <c r="C929">
        <v>-0.63</v>
      </c>
      <c r="D929">
        <v>-0.74141614408126888</v>
      </c>
      <c r="E929">
        <v>7.245873045526223E-2</v>
      </c>
      <c r="F929">
        <v>106.31535572218978</v>
      </c>
    </row>
    <row r="930" spans="1:6" x14ac:dyDescent="0.3">
      <c r="A930">
        <v>0.1</v>
      </c>
      <c r="B930" t="s">
        <v>93</v>
      </c>
      <c r="C930">
        <v>-0.62</v>
      </c>
      <c r="D930">
        <v>-0.72500508775299921</v>
      </c>
      <c r="E930">
        <v>7.230263263437843E-2</v>
      </c>
      <c r="F930">
        <v>108.54279398851612</v>
      </c>
    </row>
    <row r="931" spans="1:6" x14ac:dyDescent="0.3">
      <c r="A931">
        <v>0.1</v>
      </c>
      <c r="B931" t="s">
        <v>93</v>
      </c>
      <c r="C931">
        <v>-0.61</v>
      </c>
      <c r="D931">
        <v>-0.7089213594274083</v>
      </c>
      <c r="E931">
        <v>7.2144003864746509E-2</v>
      </c>
      <c r="F931">
        <v>110.82124453249666</v>
      </c>
    </row>
    <row r="932" spans="1:6" x14ac:dyDescent="0.3">
      <c r="A932">
        <v>0.1</v>
      </c>
      <c r="B932" t="s">
        <v>93</v>
      </c>
      <c r="C932">
        <v>-0.6</v>
      </c>
      <c r="D932">
        <v>-0.69314718055994529</v>
      </c>
      <c r="E932">
        <v>7.1982695288111714E-2</v>
      </c>
      <c r="F932">
        <v>113.15371550031774</v>
      </c>
    </row>
    <row r="933" spans="1:6" x14ac:dyDescent="0.3">
      <c r="A933">
        <v>0.1</v>
      </c>
      <c r="B933" t="s">
        <v>93</v>
      </c>
      <c r="C933">
        <v>-0.59</v>
      </c>
      <c r="D933">
        <v>-0.67766606775796179</v>
      </c>
      <c r="E933">
        <v>7.1818534036598242E-2</v>
      </c>
      <c r="F933">
        <v>115.54338367808758</v>
      </c>
    </row>
    <row r="934" spans="1:6" x14ac:dyDescent="0.3">
      <c r="A934">
        <v>0.1</v>
      </c>
      <c r="B934" t="s">
        <v>93</v>
      </c>
      <c r="C934">
        <v>-0.57999999999999996</v>
      </c>
      <c r="D934">
        <v>-0.66246270737179924</v>
      </c>
      <c r="E934">
        <v>7.1651390382826391E-2</v>
      </c>
      <c r="F934">
        <v>117.99356373095333</v>
      </c>
    </row>
    <row r="935" spans="1:6" x14ac:dyDescent="0.3">
      <c r="A935">
        <v>0.1</v>
      </c>
      <c r="B935" t="s">
        <v>93</v>
      </c>
      <c r="C935">
        <v>-0.56999999999999995</v>
      </c>
      <c r="D935">
        <v>-0.64752284482737277</v>
      </c>
      <c r="E935">
        <v>7.1481073342817572E-2</v>
      </c>
      <c r="F935">
        <v>120.50779762290919</v>
      </c>
    </row>
    <row r="936" spans="1:6" x14ac:dyDescent="0.3">
      <c r="A936">
        <v>0.1</v>
      </c>
      <c r="B936" t="s">
        <v>93</v>
      </c>
      <c r="C936">
        <v>-0.56000000000000005</v>
      </c>
      <c r="D936">
        <v>-0.63283318666563804</v>
      </c>
      <c r="E936">
        <v>7.1307425900089649E-2</v>
      </c>
      <c r="F936">
        <v>123.08980613219802</v>
      </c>
    </row>
    <row r="937" spans="1:6" x14ac:dyDescent="0.3">
      <c r="A937">
        <v>0.1</v>
      </c>
      <c r="B937" t="s">
        <v>93</v>
      </c>
      <c r="C937">
        <v>-0.55000000000000004</v>
      </c>
      <c r="D937">
        <v>-0.61838131357446346</v>
      </c>
      <c r="E937">
        <v>7.1130278195279242E-2</v>
      </c>
      <c r="F937">
        <v>125.74354125067396</v>
      </c>
    </row>
    <row r="938" spans="1:6" x14ac:dyDescent="0.3">
      <c r="A938">
        <v>0.1</v>
      </c>
      <c r="B938" t="s">
        <v>93</v>
      </c>
      <c r="C938">
        <v>-0.54</v>
      </c>
      <c r="D938">
        <v>-0.60415560296226711</v>
      </c>
      <c r="E938">
        <v>7.0949418432625228E-2</v>
      </c>
      <c r="F938">
        <v>128.47323163794439</v>
      </c>
    </row>
    <row r="939" spans="1:6" x14ac:dyDescent="0.3">
      <c r="A939">
        <v>0.1</v>
      </c>
      <c r="B939" t="s">
        <v>93</v>
      </c>
      <c r="C939">
        <v>-0.53</v>
      </c>
      <c r="D939">
        <v>-0.59014515984118854</v>
      </c>
      <c r="E939">
        <v>7.0764670251985157E-2</v>
      </c>
      <c r="F939">
        <v>131.28334686426408</v>
      </c>
    </row>
    <row r="940" spans="1:6" x14ac:dyDescent="0.3">
      <c r="A940">
        <v>0.1</v>
      </c>
      <c r="B940" t="s">
        <v>93</v>
      </c>
      <c r="C940">
        <v>-0.52</v>
      </c>
      <c r="D940">
        <v>-0.57633975496919276</v>
      </c>
      <c r="E940">
        <v>7.0575810758607596E-2</v>
      </c>
      <c r="F940">
        <v>134.17868789514145</v>
      </c>
    </row>
    <row r="941" spans="1:6" x14ac:dyDescent="0.3">
      <c r="A941">
        <v>0.1</v>
      </c>
      <c r="B941" t="s">
        <v>93</v>
      </c>
      <c r="C941">
        <v>-0.51</v>
      </c>
      <c r="D941">
        <v>-0.56272976935214891</v>
      </c>
      <c r="E941">
        <v>7.0382646790839373E-2</v>
      </c>
      <c r="F941">
        <v>137.16435451275777</v>
      </c>
    </row>
    <row r="942" spans="1:6" x14ac:dyDescent="0.3">
      <c r="A942">
        <v>0.1</v>
      </c>
      <c r="B942" t="s">
        <v>93</v>
      </c>
      <c r="C942">
        <v>-0.5</v>
      </c>
      <c r="D942">
        <v>-0.54930614433405489</v>
      </c>
      <c r="E942">
        <v>7.0184924613059918E-2</v>
      </c>
      <c r="F942">
        <v>140.24585299927853</v>
      </c>
    </row>
    <row r="943" spans="1:6" x14ac:dyDescent="0.3">
      <c r="A943">
        <v>0.1</v>
      </c>
      <c r="B943" t="s">
        <v>93</v>
      </c>
      <c r="C943">
        <v>-0.49</v>
      </c>
      <c r="D943">
        <v>-0.53606033661056662</v>
      </c>
      <c r="E943">
        <v>6.9982430398347617E-2</v>
      </c>
      <c r="F943">
        <v>143.42904631892304</v>
      </c>
    </row>
    <row r="944" spans="1:6" x14ac:dyDescent="0.3">
      <c r="A944">
        <v>0.1</v>
      </c>
      <c r="B944" t="s">
        <v>93</v>
      </c>
      <c r="C944">
        <v>-0.48</v>
      </c>
      <c r="D944">
        <v>-0.5229842775913438</v>
      </c>
      <c r="E944">
        <v>6.9774879415658006E-2</v>
      </c>
      <c r="F944">
        <v>146.72029144950844</v>
      </c>
    </row>
    <row r="945" spans="1:6" x14ac:dyDescent="0.3">
      <c r="A945">
        <v>0.1</v>
      </c>
      <c r="B945" t="s">
        <v>93</v>
      </c>
      <c r="C945">
        <v>-0.47</v>
      </c>
      <c r="D945">
        <v>-0.51007033661330725</v>
      </c>
      <c r="E945">
        <v>6.9562027503485432E-2</v>
      </c>
      <c r="F945">
        <v>150.12638401785833</v>
      </c>
    </row>
    <row r="946" spans="1:6" x14ac:dyDescent="0.3">
      <c r="A946">
        <v>0.1</v>
      </c>
      <c r="B946" t="s">
        <v>93</v>
      </c>
      <c r="C946">
        <v>-0.46</v>
      </c>
      <c r="D946">
        <v>-0.49731128757203097</v>
      </c>
      <c r="E946">
        <v>6.9343588358715347E-2</v>
      </c>
      <c r="F946">
        <v>153.65468302844886</v>
      </c>
    </row>
    <row r="947" spans="1:6" x14ac:dyDescent="0.3">
      <c r="A947">
        <v>0.1</v>
      </c>
      <c r="B947" t="s">
        <v>93</v>
      </c>
      <c r="C947">
        <v>-0.45</v>
      </c>
      <c r="D947">
        <v>-0.48470027859405168</v>
      </c>
      <c r="E947">
        <v>6.9119239028474902E-2</v>
      </c>
      <c r="F947">
        <v>157.31316507371591</v>
      </c>
    </row>
    <row r="948" spans="1:6" x14ac:dyDescent="0.3">
      <c r="A948">
        <v>0.1</v>
      </c>
      <c r="B948" t="s">
        <v>93</v>
      </c>
      <c r="C948">
        <v>-0.44</v>
      </c>
      <c r="D948">
        <v>-0.47223080442042559</v>
      </c>
      <c r="E948">
        <v>6.8888659550066997E-2</v>
      </c>
      <c r="F948">
        <v>161.11044895938201</v>
      </c>
    </row>
    <row r="949" spans="1:6" x14ac:dyDescent="0.3">
      <c r="A949">
        <v>0.1</v>
      </c>
      <c r="B949" t="s">
        <v>93</v>
      </c>
      <c r="C949">
        <v>-0.43</v>
      </c>
      <c r="D949">
        <v>-0.45989668121267852</v>
      </c>
      <c r="E949">
        <v>6.8651526076669342E-2</v>
      </c>
      <c r="F949">
        <v>165.05587153412486</v>
      </c>
    </row>
    <row r="950" spans="1:6" x14ac:dyDescent="0.3">
      <c r="A950">
        <v>0.1</v>
      </c>
      <c r="B950" t="s">
        <v>93</v>
      </c>
      <c r="C950">
        <v>-0.42</v>
      </c>
      <c r="D950">
        <v>-0.4476920235274206</v>
      </c>
      <c r="E950">
        <v>6.8407441132495833E-2</v>
      </c>
      <c r="F950">
        <v>169.15964411740325</v>
      </c>
    </row>
    <row r="951" spans="1:6" x14ac:dyDescent="0.3">
      <c r="A951">
        <v>0.1</v>
      </c>
      <c r="B951" t="s">
        <v>93</v>
      </c>
      <c r="C951">
        <v>-0.41</v>
      </c>
      <c r="D951">
        <v>-0.43561122323622431</v>
      </c>
      <c r="E951">
        <v>6.8156041989078334E-2</v>
      </c>
      <c r="F951">
        <v>173.43282831361242</v>
      </c>
    </row>
    <row r="952" spans="1:6" x14ac:dyDescent="0.3">
      <c r="A952">
        <v>0.1</v>
      </c>
      <c r="B952" t="s">
        <v>93</v>
      </c>
      <c r="C952">
        <v>-0.4</v>
      </c>
      <c r="D952">
        <v>-0.42364893019360178</v>
      </c>
      <c r="E952">
        <v>6.789688089714363E-2</v>
      </c>
      <c r="F952">
        <v>177.88757355755169</v>
      </c>
    </row>
    <row r="953" spans="1:6" x14ac:dyDescent="0.3">
      <c r="A953">
        <v>0.1</v>
      </c>
      <c r="B953" t="s">
        <v>93</v>
      </c>
      <c r="C953">
        <v>-0.39</v>
      </c>
      <c r="D953">
        <v>-0.41180003447869035</v>
      </c>
      <c r="E953">
        <v>6.762951376428479E-2</v>
      </c>
      <c r="F953">
        <v>182.53713901912846</v>
      </c>
    </row>
    <row r="954" spans="1:6" x14ac:dyDescent="0.3">
      <c r="A954">
        <v>0.1</v>
      </c>
      <c r="B954" t="s">
        <v>93</v>
      </c>
      <c r="C954">
        <v>-0.38</v>
      </c>
      <c r="D954">
        <v>-0.40005965005605654</v>
      </c>
      <c r="E954">
        <v>6.7353450973690568E-2</v>
      </c>
      <c r="F954">
        <v>187.39608802710165</v>
      </c>
    </row>
    <row r="955" spans="1:6" x14ac:dyDescent="0.3">
      <c r="A955">
        <v>0.1</v>
      </c>
      <c r="B955" t="s">
        <v>93</v>
      </c>
      <c r="C955">
        <v>-0.37</v>
      </c>
      <c r="D955">
        <v>-0.38842309971829614</v>
      </c>
      <c r="E955">
        <v>6.7068169698517491E-2</v>
      </c>
      <c r="F955">
        <v>192.48043355117545</v>
      </c>
    </row>
    <row r="956" spans="1:6" x14ac:dyDescent="0.3">
      <c r="A956">
        <v>0.1</v>
      </c>
      <c r="B956" t="s">
        <v>93</v>
      </c>
      <c r="C956">
        <v>-0.36</v>
      </c>
      <c r="D956">
        <v>-0.37688590118819004</v>
      </c>
      <c r="E956">
        <v>6.6773112763824916E-2</v>
      </c>
      <c r="F956">
        <v>197.80782300596809</v>
      </c>
    </row>
    <row r="957" spans="1:6" x14ac:dyDescent="0.3">
      <c r="A957">
        <v>0.1</v>
      </c>
      <c r="B957" t="s">
        <v>93</v>
      </c>
      <c r="C957">
        <v>-0.35</v>
      </c>
      <c r="D957">
        <v>-0.36544375427139619</v>
      </c>
      <c r="E957">
        <v>6.6467661511562234E-2</v>
      </c>
      <c r="F957">
        <v>203.39778856966663</v>
      </c>
    </row>
    <row r="958" spans="1:6" x14ac:dyDescent="0.3">
      <c r="A958">
        <v>0.1</v>
      </c>
      <c r="B958" t="s">
        <v>93</v>
      </c>
      <c r="C958">
        <v>-0.34</v>
      </c>
      <c r="D958">
        <v>-0.35409252896224297</v>
      </c>
      <c r="E958">
        <v>6.6151161372512562E-2</v>
      </c>
      <c r="F958">
        <v>209.27196227297659</v>
      </c>
    </row>
    <row r="959" spans="1:6" x14ac:dyDescent="0.3">
      <c r="A959">
        <v>0.1</v>
      </c>
      <c r="B959" t="s">
        <v>93</v>
      </c>
      <c r="C959">
        <v>-0.33</v>
      </c>
      <c r="D959">
        <v>-0.34282825441539394</v>
      </c>
      <c r="E959">
        <v>6.5822878799993711E-2</v>
      </c>
      <c r="F959">
        <v>215.4544287322577</v>
      </c>
    </row>
    <row r="960" spans="1:6" x14ac:dyDescent="0.3">
      <c r="A960">
        <v>0.1</v>
      </c>
      <c r="B960" t="s">
        <v>93</v>
      </c>
      <c r="C960">
        <v>-0.32</v>
      </c>
      <c r="D960">
        <v>-0.3316471087051322</v>
      </c>
      <c r="E960">
        <v>6.548204336131272E-2</v>
      </c>
      <c r="F960">
        <v>221.97200647776145</v>
      </c>
    </row>
    <row r="961" spans="1:6" x14ac:dyDescent="0.3">
      <c r="A961">
        <v>0.1</v>
      </c>
      <c r="B961" t="s">
        <v>93</v>
      </c>
      <c r="C961">
        <v>-0.31</v>
      </c>
      <c r="D961">
        <v>-0.32054540930194608</v>
      </c>
      <c r="E961">
        <v>6.5127800397444174E-2</v>
      </c>
      <c r="F961">
        <v>228.85472148249409</v>
      </c>
    </row>
    <row r="962" spans="1:6" x14ac:dyDescent="0.3">
      <c r="A962">
        <v>0.1</v>
      </c>
      <c r="B962" t="s">
        <v>93</v>
      </c>
      <c r="C962">
        <v>-0.3</v>
      </c>
      <c r="D962">
        <v>-0.30951960420311175</v>
      </c>
      <c r="E962">
        <v>6.4759208094525872E-2</v>
      </c>
      <c r="F962">
        <v>236.13629444599056</v>
      </c>
    </row>
    <row r="963" spans="1:6" x14ac:dyDescent="0.3">
      <c r="A963">
        <v>0.1</v>
      </c>
      <c r="B963" t="s">
        <v>93</v>
      </c>
      <c r="C963">
        <v>-0.28999999999999998</v>
      </c>
      <c r="D963">
        <v>-0.29856626366017835</v>
      </c>
      <c r="E963">
        <v>6.4375257105222961E-2</v>
      </c>
      <c r="F963">
        <v>243.85467821912462</v>
      </c>
    </row>
    <row r="964" spans="1:6" x14ac:dyDescent="0.3">
      <c r="A964">
        <v>0.1</v>
      </c>
      <c r="B964" t="s">
        <v>93</v>
      </c>
      <c r="C964">
        <v>-0.28000000000000003</v>
      </c>
      <c r="D964">
        <v>-0.2876820724517809</v>
      </c>
      <c r="E964">
        <v>6.3974843145988503E-2</v>
      </c>
      <c r="F964">
        <v>252.05278372995718</v>
      </c>
    </row>
    <row r="965" spans="1:6" x14ac:dyDescent="0.3">
      <c r="A965">
        <v>0.1</v>
      </c>
      <c r="B965" t="s">
        <v>93</v>
      </c>
      <c r="C965">
        <v>-0.27</v>
      </c>
      <c r="D965">
        <v>-0.27686382265510007</v>
      </c>
      <c r="E965">
        <v>6.3556699352165305E-2</v>
      </c>
      <c r="F965">
        <v>260.77943254754001</v>
      </c>
    </row>
    <row r="966" spans="1:6" x14ac:dyDescent="0.3">
      <c r="A966">
        <v>0.1</v>
      </c>
      <c r="B966" t="s">
        <v>93</v>
      </c>
      <c r="C966">
        <v>-0.26</v>
      </c>
      <c r="D966">
        <v>-0.26610840687365411</v>
      </c>
      <c r="E966">
        <v>6.3119505263942943E-2</v>
      </c>
      <c r="F966">
        <v>270.09015157307505</v>
      </c>
    </row>
    <row r="967" spans="1:6" x14ac:dyDescent="0.3">
      <c r="A967">
        <v>0.1</v>
      </c>
      <c r="B967" t="s">
        <v>93</v>
      </c>
      <c r="C967">
        <v>-0.25</v>
      </c>
      <c r="D967">
        <v>-0.25541281188299536</v>
      </c>
      <c r="E967">
        <v>6.266172188742139E-2</v>
      </c>
      <c r="F967">
        <v>280.0487113867797</v>
      </c>
    </row>
    <row r="968" spans="1:6" x14ac:dyDescent="0.3">
      <c r="A968">
        <v>0.1</v>
      </c>
      <c r="B968" t="s">
        <v>93</v>
      </c>
      <c r="C968">
        <v>-0.24</v>
      </c>
      <c r="D968">
        <v>-0.24477411265935289</v>
      </c>
      <c r="E968">
        <v>6.2181687933066131E-2</v>
      </c>
      <c r="F968">
        <v>290.72844013627787</v>
      </c>
    </row>
    <row r="969" spans="1:6" x14ac:dyDescent="0.3">
      <c r="A969">
        <v>0.1</v>
      </c>
      <c r="B969" t="s">
        <v>93</v>
      </c>
      <c r="C969">
        <v>-0.23</v>
      </c>
      <c r="D969">
        <v>-0.23418946675936678</v>
      </c>
      <c r="E969">
        <v>6.1677532745030926E-2</v>
      </c>
      <c r="F969">
        <v>302.21426107339062</v>
      </c>
    </row>
    <row r="970" spans="1:6" x14ac:dyDescent="0.3">
      <c r="A970">
        <v>0.1</v>
      </c>
      <c r="B970" t="s">
        <v>93</v>
      </c>
      <c r="C970">
        <v>-0.22</v>
      </c>
      <c r="D970">
        <v>-0.22365610902183239</v>
      </c>
      <c r="E970">
        <v>6.114718587015619E-2</v>
      </c>
      <c r="F970">
        <v>314.60499241701143</v>
      </c>
    </row>
    <row r="971" spans="1:6" x14ac:dyDescent="0.3">
      <c r="A971">
        <v>0.1</v>
      </c>
      <c r="B971" t="s">
        <v>93</v>
      </c>
      <c r="C971">
        <v>-0.21</v>
      </c>
      <c r="D971">
        <v>-0.21317134656485975</v>
      </c>
      <c r="E971">
        <v>6.0588282381735435E-2</v>
      </c>
      <c r="F971">
        <v>328.0165012451298</v>
      </c>
    </row>
    <row r="972" spans="1:6" x14ac:dyDescent="0.3">
      <c r="A972">
        <v>0.1</v>
      </c>
      <c r="B972" t="s">
        <v>93</v>
      </c>
      <c r="C972">
        <v>-0.2</v>
      </c>
      <c r="D972">
        <v>-0.20273255405408214</v>
      </c>
      <c r="E972">
        <v>5.9998181328177767E-2</v>
      </c>
      <c r="F972">
        <v>342.58538686630328</v>
      </c>
    </row>
    <row r="973" spans="1:6" x14ac:dyDescent="0.3">
      <c r="A973">
        <v>0.1</v>
      </c>
      <c r="B973" t="s">
        <v>93</v>
      </c>
      <c r="C973">
        <v>-0.19</v>
      </c>
      <c r="D973">
        <v>-0.1923371692195453</v>
      </c>
      <c r="E973">
        <v>5.937387446861981E-2</v>
      </c>
      <c r="F973">
        <v>358.47400515902734</v>
      </c>
    </row>
    <row r="974" spans="1:6" x14ac:dyDescent="0.3">
      <c r="A974">
        <v>0.1</v>
      </c>
      <c r="B974" t="s">
        <v>93</v>
      </c>
      <c r="C974">
        <v>-0.18</v>
      </c>
      <c r="D974">
        <v>-0.18198268860070579</v>
      </c>
      <c r="E974">
        <v>5.8711955049071812E-2</v>
      </c>
      <c r="F974">
        <v>375.87677981747919</v>
      </c>
    </row>
    <row r="975" spans="1:6" x14ac:dyDescent="0.3">
      <c r="A975">
        <v>0.1</v>
      </c>
      <c r="B975" t="s">
        <v>93</v>
      </c>
      <c r="C975">
        <v>-0.17</v>
      </c>
      <c r="D975">
        <v>-0.17166666350057908</v>
      </c>
      <c r="E975">
        <v>5.8008468469666882E-2</v>
      </c>
      <c r="F975">
        <v>395.02885981501913</v>
      </c>
    </row>
    <row r="976" spans="1:6" x14ac:dyDescent="0.3">
      <c r="A976">
        <v>0.1</v>
      </c>
      <c r="B976" t="s">
        <v>93</v>
      </c>
      <c r="C976">
        <v>-0.16</v>
      </c>
      <c r="D976">
        <v>-0.16138669613152551</v>
      </c>
      <c r="E976">
        <v>5.725891633120804E-2</v>
      </c>
      <c r="F976">
        <v>416.21705282608286</v>
      </c>
    </row>
    <row r="977" spans="1:6" x14ac:dyDescent="0.3">
      <c r="A977">
        <v>0.1</v>
      </c>
      <c r="B977" t="s">
        <v>93</v>
      </c>
      <c r="C977">
        <v>-0.15</v>
      </c>
      <c r="D977">
        <v>-0.15114043593646675</v>
      </c>
      <c r="E977">
        <v>5.645802686414627E-2</v>
      </c>
      <c r="F977">
        <v>439.79544073852503</v>
      </c>
    </row>
    <row r="978" spans="1:6" x14ac:dyDescent="0.3">
      <c r="A978">
        <v>0.1</v>
      </c>
      <c r="B978" t="s">
        <v>93</v>
      </c>
      <c r="C978">
        <v>-0.14000000000000001</v>
      </c>
      <c r="D978">
        <v>-0.14092557607049394</v>
      </c>
      <c r="E978">
        <v>5.5599647531592231E-2</v>
      </c>
      <c r="F978">
        <v>466.20626264729515</v>
      </c>
    </row>
    <row r="979" spans="1:6" x14ac:dyDescent="0.3">
      <c r="A979">
        <v>0.1</v>
      </c>
      <c r="B979" t="s">
        <v>93</v>
      </c>
      <c r="C979">
        <v>-0.13</v>
      </c>
      <c r="D979">
        <v>-0.13073985002887836</v>
      </c>
      <c r="E979">
        <v>5.4676496083104993E-2</v>
      </c>
      <c r="F979">
        <v>496.00967608440618</v>
      </c>
    </row>
    <row r="980" spans="1:6" x14ac:dyDescent="0.3">
      <c r="A980">
        <v>0.1</v>
      </c>
      <c r="B980" t="s">
        <v>93</v>
      </c>
      <c r="C980">
        <v>-0.12</v>
      </c>
      <c r="D980">
        <v>-0.12058102840844405</v>
      </c>
      <c r="E980">
        <v>5.3679876987326229E-2</v>
      </c>
      <c r="F980">
        <v>529.92633265242216</v>
      </c>
    </row>
    <row r="981" spans="1:6" x14ac:dyDescent="0.3">
      <c r="A981">
        <v>0.1</v>
      </c>
      <c r="B981" t="s">
        <v>93</v>
      </c>
      <c r="C981">
        <v>-0.11</v>
      </c>
      <c r="D981">
        <v>-0.1104469157900972</v>
      </c>
      <c r="E981">
        <v>5.2599305513324403E-2</v>
      </c>
      <c r="F981">
        <v>568.89999151508323</v>
      </c>
    </row>
    <row r="982" spans="1:6" x14ac:dyDescent="0.3">
      <c r="A982">
        <v>0.1</v>
      </c>
      <c r="B982" t="s">
        <v>93</v>
      </c>
      <c r="C982">
        <v>-0.1</v>
      </c>
      <c r="D982">
        <v>-0.10033534773107562</v>
      </c>
      <c r="E982">
        <v>5.1421953654009873E-2</v>
      </c>
      <c r="F982">
        <v>614.19249862547895</v>
      </c>
    </row>
    <row r="983" spans="1:6" x14ac:dyDescent="0.3">
      <c r="A983">
        <v>0.1</v>
      </c>
      <c r="B983" t="s">
        <v>93</v>
      </c>
      <c r="C983">
        <v>-0.09</v>
      </c>
      <c r="D983">
        <v>-9.0244187856146837E-2</v>
      </c>
      <c r="E983">
        <v>5.0131836600351046E-2</v>
      </c>
      <c r="F983">
        <v>667.53265652373761</v>
      </c>
    </row>
    <row r="984" spans="1:6" x14ac:dyDescent="0.3">
      <c r="A984">
        <v>0.1</v>
      </c>
      <c r="B984" t="s">
        <v>93</v>
      </c>
      <c r="C984">
        <v>-0.08</v>
      </c>
      <c r="D984">
        <v>-8.0171325037589683E-2</v>
      </c>
      <c r="E984">
        <v>4.8708721425861003E-2</v>
      </c>
      <c r="F984">
        <v>731.35771302137584</v>
      </c>
    </row>
    <row r="985" spans="1:6" x14ac:dyDescent="0.3">
      <c r="A985">
        <v>0.1</v>
      </c>
      <c r="B985" t="s">
        <v>93</v>
      </c>
      <c r="C985">
        <v>-7.0000000000000007E-2</v>
      </c>
      <c r="D985">
        <v>-7.0114670654325195E-2</v>
      </c>
      <c r="E985">
        <v>4.7126298513238421E-2</v>
      </c>
      <c r="F985">
        <v>809.22614097563394</v>
      </c>
    </row>
    <row r="986" spans="1:6" x14ac:dyDescent="0.3">
      <c r="A986">
        <v>0.1</v>
      </c>
      <c r="B986" t="s">
        <v>93</v>
      </c>
      <c r="C986">
        <v>-0.06</v>
      </c>
      <c r="D986">
        <v>-6.007215592103167E-2</v>
      </c>
      <c r="E986">
        <v>4.5349428297850776E-2</v>
      </c>
      <c r="F986">
        <v>906.56074015330887</v>
      </c>
    </row>
    <row r="987" spans="1:6" x14ac:dyDescent="0.3">
      <c r="A987">
        <v>0.1</v>
      </c>
      <c r="B987" t="s">
        <v>93</v>
      </c>
      <c r="C987">
        <v>-0.05</v>
      </c>
      <c r="D987">
        <v>-5.0041729278491327E-2</v>
      </c>
      <c r="E987">
        <v>4.3329317512068179E-2</v>
      </c>
      <c r="F987">
        <v>1032.0887123095351</v>
      </c>
    </row>
    <row r="988" spans="1:6" x14ac:dyDescent="0.3">
      <c r="A988">
        <v>0.1</v>
      </c>
      <c r="B988" t="s">
        <v>93</v>
      </c>
      <c r="C988">
        <v>-0.04</v>
      </c>
      <c r="D988">
        <v>-4.0021353836768248E-2</v>
      </c>
      <c r="E988">
        <v>4.0994755827896044E-2</v>
      </c>
      <c r="F988">
        <v>1200.8966914637926</v>
      </c>
    </row>
    <row r="989" spans="1:6" x14ac:dyDescent="0.3">
      <c r="A989">
        <v>0.1</v>
      </c>
      <c r="B989" t="s">
        <v>93</v>
      </c>
      <c r="C989">
        <v>-0.03</v>
      </c>
      <c r="D989">
        <v>-3.000900486312652E-2</v>
      </c>
      <c r="E989">
        <v>3.823408510926584E-2</v>
      </c>
      <c r="F989">
        <v>1441.7731578151859</v>
      </c>
    </row>
    <row r="990" spans="1:6" x14ac:dyDescent="0.3">
      <c r="A990">
        <v>0.1</v>
      </c>
      <c r="B990" t="s">
        <v>93</v>
      </c>
      <c r="C990">
        <v>-0.02</v>
      </c>
      <c r="D990">
        <v>-2.0002667306849624E-2</v>
      </c>
      <c r="E990">
        <v>3.4852768014440774E-2</v>
      </c>
      <c r="F990">
        <v>1818.3065073401053</v>
      </c>
    </row>
    <row r="991" spans="1:6" x14ac:dyDescent="0.3">
      <c r="A991">
        <v>0.1</v>
      </c>
      <c r="B991" t="s">
        <v>93</v>
      </c>
      <c r="C991">
        <v>-0.01</v>
      </c>
      <c r="D991">
        <v>-1.0000333353334771E-2</v>
      </c>
      <c r="E991">
        <v>3.0444569889737285E-2</v>
      </c>
      <c r="F991">
        <v>2510.0057831442323</v>
      </c>
    </row>
    <row r="992" spans="1:6" x14ac:dyDescent="0.3">
      <c r="A992">
        <v>0.05</v>
      </c>
      <c r="B992" t="s">
        <v>93</v>
      </c>
      <c r="C992">
        <v>-0.99</v>
      </c>
      <c r="D992">
        <v>-2.6466524123622457</v>
      </c>
      <c r="E992">
        <v>9.3488121685721404E-2</v>
      </c>
      <c r="F992">
        <v>30.524742637096008</v>
      </c>
    </row>
    <row r="993" spans="1:6" x14ac:dyDescent="0.3">
      <c r="A993">
        <v>0.05</v>
      </c>
      <c r="B993" t="s">
        <v>93</v>
      </c>
      <c r="C993">
        <v>-0.98</v>
      </c>
      <c r="D993">
        <v>-2.2975599250672945</v>
      </c>
      <c r="E993">
        <v>9.3055228336520898E-2</v>
      </c>
      <c r="F993">
        <v>34.623665959522846</v>
      </c>
    </row>
    <row r="994" spans="1:6" x14ac:dyDescent="0.3">
      <c r="A994">
        <v>0.05</v>
      </c>
      <c r="B994" t="s">
        <v>93</v>
      </c>
      <c r="C994">
        <v>-0.97</v>
      </c>
      <c r="D994">
        <v>-2.0922957200349388</v>
      </c>
      <c r="E994">
        <v>9.2738526086167353E-2</v>
      </c>
      <c r="F994">
        <v>37.658722860110259</v>
      </c>
    </row>
    <row r="995" spans="1:6" x14ac:dyDescent="0.3">
      <c r="A995">
        <v>0.05</v>
      </c>
      <c r="B995" t="s">
        <v>93</v>
      </c>
      <c r="C995">
        <v>-0.96</v>
      </c>
      <c r="D995">
        <v>-1.9459101490553128</v>
      </c>
      <c r="E995">
        <v>9.2475277281784354E-2</v>
      </c>
      <c r="F995">
        <v>40.205404779530312</v>
      </c>
    </row>
    <row r="996" spans="1:6" x14ac:dyDescent="0.3">
      <c r="A996">
        <v>0.05</v>
      </c>
      <c r="B996" t="s">
        <v>93</v>
      </c>
      <c r="C996">
        <v>-0.95</v>
      </c>
      <c r="D996">
        <v>-1.8317808230648227</v>
      </c>
      <c r="E996">
        <v>9.2243412932119254E-2</v>
      </c>
      <c r="F996">
        <v>42.466489857537262</v>
      </c>
    </row>
    <row r="997" spans="1:6" x14ac:dyDescent="0.3">
      <c r="A997">
        <v>0.05</v>
      </c>
      <c r="B997" t="s">
        <v>93</v>
      </c>
      <c r="C997">
        <v>-0.94</v>
      </c>
      <c r="D997">
        <v>-1.7380493449176362</v>
      </c>
      <c r="E997">
        <v>9.2032306404797981E-2</v>
      </c>
      <c r="F997">
        <v>44.539927374252258</v>
      </c>
    </row>
    <row r="998" spans="1:6" x14ac:dyDescent="0.3">
      <c r="A998">
        <v>0.05</v>
      </c>
      <c r="B998" t="s">
        <v>93</v>
      </c>
      <c r="C998">
        <v>-0.93</v>
      </c>
      <c r="D998">
        <v>-1.6583900199247865</v>
      </c>
      <c r="E998">
        <v>9.1835948587378605E-2</v>
      </c>
      <c r="F998">
        <v>46.48144735296983</v>
      </c>
    </row>
    <row r="999" spans="1:6" x14ac:dyDescent="0.3">
      <c r="A999">
        <v>0.05</v>
      </c>
      <c r="B999" t="s">
        <v>93</v>
      </c>
      <c r="C999">
        <v>-0.92</v>
      </c>
      <c r="D999">
        <v>-1.5890269151739731</v>
      </c>
      <c r="E999">
        <v>9.1650547069901486E-2</v>
      </c>
      <c r="F999">
        <v>48.326212460275734</v>
      </c>
    </row>
    <row r="1000" spans="1:6" x14ac:dyDescent="0.3">
      <c r="A1000">
        <v>0.05</v>
      </c>
      <c r="B1000" t="s">
        <v>93</v>
      </c>
      <c r="C1000">
        <v>-0.91</v>
      </c>
      <c r="D1000">
        <v>-1.5275244253552054</v>
      </c>
      <c r="E1000">
        <v>9.1473507828771575E-2</v>
      </c>
      <c r="F1000">
        <v>50.098073651180798</v>
      </c>
    </row>
    <row r="1001" spans="1:6" x14ac:dyDescent="0.3">
      <c r="A1001">
        <v>0.05</v>
      </c>
      <c r="B1001" t="s">
        <v>93</v>
      </c>
      <c r="C1001">
        <v>-0.9</v>
      </c>
      <c r="D1001">
        <v>-1.4722194895832204</v>
      </c>
      <c r="E1001">
        <v>9.1303038132250422E-2</v>
      </c>
      <c r="F1001">
        <v>51.814082343087399</v>
      </c>
    </row>
    <row r="1002" spans="1:6" x14ac:dyDescent="0.3">
      <c r="A1002">
        <v>0.05</v>
      </c>
      <c r="B1002" t="s">
        <v>93</v>
      </c>
      <c r="C1002">
        <v>-0.89</v>
      </c>
      <c r="D1002">
        <v>-1.421925871130636</v>
      </c>
      <c r="E1002">
        <v>9.1137762946403522E-2</v>
      </c>
      <c r="F1002">
        <v>53.486978253456975</v>
      </c>
    </row>
    <row r="1003" spans="1:6" x14ac:dyDescent="0.3">
      <c r="A1003">
        <v>0.05</v>
      </c>
      <c r="B1003" t="s">
        <v>93</v>
      </c>
      <c r="C1003">
        <v>-0.88</v>
      </c>
      <c r="D1003">
        <v>-1.3757676565209744</v>
      </c>
      <c r="E1003">
        <v>9.0976629838035061E-2</v>
      </c>
      <c r="F1003">
        <v>55.126603349643418</v>
      </c>
    </row>
    <row r="1004" spans="1:6" x14ac:dyDescent="0.3">
      <c r="A1004">
        <v>0.05</v>
      </c>
      <c r="B1004" t="s">
        <v>93</v>
      </c>
      <c r="C1004">
        <v>-0.87</v>
      </c>
      <c r="D1004">
        <v>-1.333079629696525</v>
      </c>
      <c r="E1004">
        <v>9.0818847536980302E-2</v>
      </c>
      <c r="F1004">
        <v>56.740772366791205</v>
      </c>
    </row>
    <row r="1005" spans="1:6" x14ac:dyDescent="0.3">
      <c r="A1005">
        <v>0.05</v>
      </c>
      <c r="B1005" t="s">
        <v>93</v>
      </c>
      <c r="C1005">
        <v>-0.86</v>
      </c>
      <c r="D1005">
        <v>-1.2933446720489712</v>
      </c>
      <c r="E1005">
        <v>9.0663715018391725E-2</v>
      </c>
      <c r="F1005">
        <v>58.335877478578716</v>
      </c>
    </row>
    <row r="1006" spans="1:6" x14ac:dyDescent="0.3">
      <c r="A1006">
        <v>0.05</v>
      </c>
      <c r="B1006" t="s">
        <v>93</v>
      </c>
      <c r="C1006">
        <v>-0.85</v>
      </c>
      <c r="D1006">
        <v>-1.2561528119880574</v>
      </c>
      <c r="E1006">
        <v>9.0510714344187948E-2</v>
      </c>
      <c r="F1006">
        <v>59.917227885881275</v>
      </c>
    </row>
    <row r="1007" spans="1:6" x14ac:dyDescent="0.3">
      <c r="A1007">
        <v>0.05</v>
      </c>
      <c r="B1007" t="s">
        <v>93</v>
      </c>
      <c r="C1007">
        <v>-0.84</v>
      </c>
      <c r="D1007">
        <v>-1.2211735176846021</v>
      </c>
      <c r="E1007">
        <v>9.0359369044585955E-2</v>
      </c>
      <c r="F1007">
        <v>61.489352309419075</v>
      </c>
    </row>
    <row r="1008" spans="1:6" x14ac:dyDescent="0.3">
      <c r="A1008">
        <v>0.05</v>
      </c>
      <c r="B1008" t="s">
        <v>93</v>
      </c>
      <c r="C1008">
        <v>-0.83</v>
      </c>
      <c r="D1008">
        <v>-1.1881364043926024</v>
      </c>
      <c r="E1008">
        <v>9.020928564495162E-2</v>
      </c>
      <c r="F1008">
        <v>63.056167933485121</v>
      </c>
    </row>
    <row r="1009" spans="1:6" x14ac:dyDescent="0.3">
      <c r="A1009">
        <v>0.05</v>
      </c>
      <c r="B1009" t="s">
        <v>93</v>
      </c>
      <c r="C1009">
        <v>-0.82</v>
      </c>
      <c r="D1009">
        <v>-1.1568174645903151</v>
      </c>
      <c r="E1009">
        <v>9.0060128787430416E-2</v>
      </c>
      <c r="F1009">
        <v>64.62112180964013</v>
      </c>
    </row>
    <row r="1010" spans="1:6" x14ac:dyDescent="0.3">
      <c r="A1010">
        <v>0.05</v>
      </c>
      <c r="B1010" t="s">
        <v>93</v>
      </c>
      <c r="C1010">
        <v>-0.81</v>
      </c>
      <c r="D1010">
        <v>-1.1270290260496929</v>
      </c>
      <c r="E1010">
        <v>8.9911587914586838E-2</v>
      </c>
      <c r="F1010">
        <v>66.187302667432888</v>
      </c>
    </row>
    <row r="1011" spans="1:6" x14ac:dyDescent="0.3">
      <c r="A1011">
        <v>0.05</v>
      </c>
      <c r="B1011" t="s">
        <v>93</v>
      </c>
      <c r="C1011">
        <v>-0.8</v>
      </c>
      <c r="D1011">
        <v>-1.0986122886681098</v>
      </c>
      <c r="E1011">
        <v>8.9763408325585686E-2</v>
      </c>
      <c r="F1011">
        <v>67.7575047926357</v>
      </c>
    </row>
    <row r="1012" spans="1:6" x14ac:dyDescent="0.3">
      <c r="A1012">
        <v>0.05</v>
      </c>
      <c r="B1012" t="s">
        <v>93</v>
      </c>
      <c r="C1012">
        <v>-0.79</v>
      </c>
      <c r="D1012">
        <v>-1.0714316840586662</v>
      </c>
      <c r="E1012">
        <v>8.961533709045677E-2</v>
      </c>
      <c r="F1012">
        <v>69.334307602949494</v>
      </c>
    </row>
    <row r="1013" spans="1:6" x14ac:dyDescent="0.3">
      <c r="A1013">
        <v>0.05</v>
      </c>
      <c r="B1013" t="s">
        <v>93</v>
      </c>
      <c r="C1013">
        <v>-0.78</v>
      </c>
      <c r="D1013">
        <v>-1.0453705484668847</v>
      </c>
      <c r="E1013">
        <v>8.9467151735921513E-2</v>
      </c>
      <c r="F1013">
        <v>70.920111038510655</v>
      </c>
    </row>
    <row r="1014" spans="1:6" x14ac:dyDescent="0.3">
      <c r="A1014">
        <v>0.05</v>
      </c>
      <c r="B1014" t="s">
        <v>93</v>
      </c>
      <c r="C1014">
        <v>-0.77</v>
      </c>
      <c r="D1014">
        <v>-1.0203277583223398</v>
      </c>
      <c r="E1014">
        <v>8.9318663669480006E-2</v>
      </c>
      <c r="F1014">
        <v>72.517170661777911</v>
      </c>
    </row>
    <row r="1015" spans="1:6" x14ac:dyDescent="0.3">
      <c r="A1015">
        <v>0.05</v>
      </c>
      <c r="B1015" t="s">
        <v>93</v>
      </c>
      <c r="C1015">
        <v>-0.76</v>
      </c>
      <c r="D1015">
        <v>-0.99621508234510314</v>
      </c>
      <c r="E1015">
        <v>8.9169672944508616E-2</v>
      </c>
      <c r="F1015">
        <v>74.127647126318237</v>
      </c>
    </row>
    <row r="1016" spans="1:6" x14ac:dyDescent="0.3">
      <c r="A1016">
        <v>0.05</v>
      </c>
      <c r="B1016" t="s">
        <v>93</v>
      </c>
      <c r="C1016">
        <v>-0.75</v>
      </c>
      <c r="D1016">
        <v>-0.97295507452765673</v>
      </c>
      <c r="E1016">
        <v>8.9019987596637776E-2</v>
      </c>
      <c r="F1016">
        <v>75.753623874460331</v>
      </c>
    </row>
    <row r="1017" spans="1:6" x14ac:dyDescent="0.3">
      <c r="A1017">
        <v>0.05</v>
      </c>
      <c r="B1017" t="s">
        <v>93</v>
      </c>
      <c r="C1017">
        <v>-0.74</v>
      </c>
      <c r="D1017">
        <v>-0.95047938059652348</v>
      </c>
      <c r="E1017">
        <v>8.8869479921997702E-2</v>
      </c>
      <c r="F1017">
        <v>77.397102198411801</v>
      </c>
    </row>
    <row r="1018" spans="1:6" x14ac:dyDescent="0.3">
      <c r="A1018">
        <v>0.05</v>
      </c>
      <c r="B1018" t="s">
        <v>93</v>
      </c>
      <c r="C1018">
        <v>-0.73</v>
      </c>
      <c r="D1018">
        <v>-0.92872736424672497</v>
      </c>
      <c r="E1018">
        <v>8.8717944063500573E-2</v>
      </c>
      <c r="F1018">
        <v>79.060084544519128</v>
      </c>
    </row>
    <row r="1019" spans="1:6" x14ac:dyDescent="0.3">
      <c r="A1019">
        <v>0.05</v>
      </c>
      <c r="B1019" t="s">
        <v>93</v>
      </c>
      <c r="C1019">
        <v>-0.72</v>
      </c>
      <c r="D1019">
        <v>-0.90764498331912458</v>
      </c>
      <c r="E1019">
        <v>8.8565244161140172E-2</v>
      </c>
      <c r="F1019">
        <v>80.744522584523338</v>
      </c>
    </row>
    <row r="1020" spans="1:6" x14ac:dyDescent="0.3">
      <c r="A1020">
        <v>0.05</v>
      </c>
      <c r="B1020" t="s">
        <v>93</v>
      </c>
      <c r="C1020">
        <v>-0.71</v>
      </c>
      <c r="D1020">
        <v>-0.88718386325809284</v>
      </c>
      <c r="E1020">
        <v>8.8411216629058209E-2</v>
      </c>
      <c r="F1020">
        <v>82.452376780596779</v>
      </c>
    </row>
    <row r="1021" spans="1:6" x14ac:dyDescent="0.3">
      <c r="A1021">
        <v>0.05</v>
      </c>
      <c r="B1021" t="s">
        <v>93</v>
      </c>
      <c r="C1021">
        <v>-0.7</v>
      </c>
      <c r="D1021">
        <v>-0.86730052769405308</v>
      </c>
      <c r="E1021">
        <v>8.8255731710298296E-2</v>
      </c>
      <c r="F1021">
        <v>84.18559937787181</v>
      </c>
    </row>
    <row r="1022" spans="1:6" x14ac:dyDescent="0.3">
      <c r="A1022">
        <v>0.05</v>
      </c>
      <c r="B1022" t="s">
        <v>93</v>
      </c>
      <c r="C1022">
        <v>-0.69</v>
      </c>
      <c r="D1022">
        <v>-0.84795575521896349</v>
      </c>
      <c r="E1022">
        <v>8.8098611591940032E-2</v>
      </c>
      <c r="F1022">
        <v>85.946187636842538</v>
      </c>
    </row>
    <row r="1023" spans="1:6" x14ac:dyDescent="0.3">
      <c r="A1023">
        <v>0.05</v>
      </c>
      <c r="B1023" t="s">
        <v>93</v>
      </c>
      <c r="C1023">
        <v>-0.68</v>
      </c>
      <c r="D1023">
        <v>-0.82911403830176633</v>
      </c>
      <c r="E1023">
        <v>8.7939751887667769E-2</v>
      </c>
      <c r="F1023">
        <v>87.736132359140342</v>
      </c>
    </row>
    <row r="1024" spans="1:6" x14ac:dyDescent="0.3">
      <c r="A1024">
        <v>0.05</v>
      </c>
      <c r="B1024" t="s">
        <v>93</v>
      </c>
      <c r="C1024">
        <v>-0.67</v>
      </c>
      <c r="D1024">
        <v>-0.81074312547513749</v>
      </c>
      <c r="E1024">
        <v>8.7778969889096614E-2</v>
      </c>
      <c r="F1024">
        <v>89.557508079784427</v>
      </c>
    </row>
    <row r="1025" spans="1:6" x14ac:dyDescent="0.3">
      <c r="A1025">
        <v>0.05</v>
      </c>
      <c r="B1025" t="s">
        <v>93</v>
      </c>
      <c r="C1025">
        <v>-0.66</v>
      </c>
      <c r="D1025">
        <v>-0.79281363187019105</v>
      </c>
      <c r="E1025">
        <v>8.7616121066288147E-2</v>
      </c>
      <c r="F1025">
        <v>91.412422438849177</v>
      </c>
    </row>
    <row r="1026" spans="1:6" x14ac:dyDescent="0.3">
      <c r="A1026">
        <v>0.05</v>
      </c>
      <c r="B1026" t="s">
        <v>93</v>
      </c>
      <c r="C1026">
        <v>-0.65</v>
      </c>
      <c r="D1026">
        <v>-0.7752987062055835</v>
      </c>
      <c r="E1026">
        <v>8.7451077675540584E-2</v>
      </c>
      <c r="F1026">
        <v>93.303036380794339</v>
      </c>
    </row>
    <row r="1027" spans="1:6" x14ac:dyDescent="0.3">
      <c r="A1027">
        <v>0.05</v>
      </c>
      <c r="B1027" t="s">
        <v>93</v>
      </c>
      <c r="C1027">
        <v>-0.64</v>
      </c>
      <c r="D1027">
        <v>-0.7581737446840443</v>
      </c>
      <c r="E1027">
        <v>8.7283677573858867E-2</v>
      </c>
      <c r="F1027">
        <v>95.231603757150111</v>
      </c>
    </row>
    <row r="1028" spans="1:6" x14ac:dyDescent="0.3">
      <c r="A1028">
        <v>0.05</v>
      </c>
      <c r="B1028" t="s">
        <v>93</v>
      </c>
      <c r="C1028">
        <v>-0.63</v>
      </c>
      <c r="D1028">
        <v>-0.74141614408126888</v>
      </c>
      <c r="E1028">
        <v>8.7113768238934811E-2</v>
      </c>
      <c r="F1028">
        <v>97.200457278189191</v>
      </c>
    </row>
    <row r="1029" spans="1:6" x14ac:dyDescent="0.3">
      <c r="A1029">
        <v>0.05</v>
      </c>
      <c r="B1029" t="s">
        <v>93</v>
      </c>
      <c r="C1029">
        <v>-0.62</v>
      </c>
      <c r="D1029">
        <v>-0.72500508775299921</v>
      </c>
      <c r="E1029">
        <v>8.6941201297482076E-2</v>
      </c>
      <c r="F1029">
        <v>99.212021955854766</v>
      </c>
    </row>
    <row r="1030" spans="1:6" x14ac:dyDescent="0.3">
      <c r="A1030">
        <v>0.05</v>
      </c>
      <c r="B1030" t="s">
        <v>93</v>
      </c>
      <c r="C1030">
        <v>-0.61</v>
      </c>
      <c r="D1030">
        <v>-0.7089213594274083</v>
      </c>
      <c r="E1030">
        <v>8.6765797787572096E-2</v>
      </c>
      <c r="F1030">
        <v>101.26884815995182</v>
      </c>
    </row>
    <row r="1031" spans="1:6" x14ac:dyDescent="0.3">
      <c r="A1031">
        <v>0.05</v>
      </c>
      <c r="B1031" t="s">
        <v>93</v>
      </c>
      <c r="C1031">
        <v>-0.6</v>
      </c>
      <c r="D1031">
        <v>-0.69314718055994529</v>
      </c>
      <c r="E1031">
        <v>8.6587403174376312E-2</v>
      </c>
      <c r="F1031">
        <v>103.37358948604283</v>
      </c>
    </row>
    <row r="1032" spans="1:6" x14ac:dyDescent="0.3">
      <c r="A1032">
        <v>0.05</v>
      </c>
      <c r="B1032" t="s">
        <v>93</v>
      </c>
      <c r="C1032">
        <v>-0.59</v>
      </c>
      <c r="D1032">
        <v>-0.67766606775796179</v>
      </c>
      <c r="E1032">
        <v>8.6405851723436858E-2</v>
      </c>
      <c r="F1032">
        <v>105.52903714453744</v>
      </c>
    </row>
    <row r="1033" spans="1:6" x14ac:dyDescent="0.3">
      <c r="A1033">
        <v>0.05</v>
      </c>
      <c r="B1033" t="s">
        <v>93</v>
      </c>
      <c r="C1033">
        <v>-0.57999999999999996</v>
      </c>
      <c r="D1033">
        <v>-0.66246270737179924</v>
      </c>
      <c r="E1033">
        <v>8.6220962130876017E-2</v>
      </c>
      <c r="F1033">
        <v>107.73813697289575</v>
      </c>
    </row>
    <row r="1034" spans="1:6" x14ac:dyDescent="0.3">
      <c r="A1034">
        <v>0.05</v>
      </c>
      <c r="B1034" t="s">
        <v>93</v>
      </c>
      <c r="C1034">
        <v>-0.56999999999999995</v>
      </c>
      <c r="D1034">
        <v>-0.64752284482737277</v>
      </c>
      <c r="E1034">
        <v>8.6032533638033648E-2</v>
      </c>
      <c r="F1034">
        <v>110.00400756245578</v>
      </c>
    </row>
    <row r="1035" spans="1:6" x14ac:dyDescent="0.3">
      <c r="A1035">
        <v>0.05</v>
      </c>
      <c r="B1035" t="s">
        <v>93</v>
      </c>
      <c r="C1035">
        <v>-0.56000000000000005</v>
      </c>
      <c r="D1035">
        <v>-0.63283318666563804</v>
      </c>
      <c r="E1035">
        <v>8.5840410436196959E-2</v>
      </c>
      <c r="F1035">
        <v>112.32991046395095</v>
      </c>
    </row>
    <row r="1036" spans="1:6" x14ac:dyDescent="0.3">
      <c r="A1036">
        <v>0.05</v>
      </c>
      <c r="B1036" t="s">
        <v>93</v>
      </c>
      <c r="C1036">
        <v>-0.55000000000000004</v>
      </c>
      <c r="D1036">
        <v>-0.61838131357446346</v>
      </c>
      <c r="E1036">
        <v>8.564436682563574E-2</v>
      </c>
      <c r="F1036">
        <v>114.7193480027626</v>
      </c>
    </row>
    <row r="1037" spans="1:6" x14ac:dyDescent="0.3">
      <c r="A1037">
        <v>0.05</v>
      </c>
      <c r="B1037" t="s">
        <v>93</v>
      </c>
      <c r="C1037">
        <v>-0.54</v>
      </c>
      <c r="D1037">
        <v>-0.60415560296226711</v>
      </c>
      <c r="E1037">
        <v>8.5444200264793213E-2</v>
      </c>
      <c r="F1037">
        <v>117.17601664924298</v>
      </c>
    </row>
    <row r="1038" spans="1:6" x14ac:dyDescent="0.3">
      <c r="A1038">
        <v>0.05</v>
      </c>
      <c r="B1038" t="s">
        <v>93</v>
      </c>
      <c r="C1038">
        <v>-0.53</v>
      </c>
      <c r="D1038">
        <v>-0.59014515984118854</v>
      </c>
      <c r="E1038">
        <v>8.5239686978290014E-2</v>
      </c>
      <c r="F1038">
        <v>119.70385922898029</v>
      </c>
    </row>
    <row r="1039" spans="1:6" x14ac:dyDescent="0.3">
      <c r="A1039">
        <v>0.05</v>
      </c>
      <c r="B1039" t="s">
        <v>93</v>
      </c>
      <c r="C1039">
        <v>-0.52</v>
      </c>
      <c r="D1039">
        <v>-0.57633975496919276</v>
      </c>
      <c r="E1039">
        <v>8.5030605647877636E-2</v>
      </c>
      <c r="F1039">
        <v>122.30706952624227</v>
      </c>
    </row>
    <row r="1040" spans="1:6" x14ac:dyDescent="0.3">
      <c r="A1040">
        <v>0.05</v>
      </c>
      <c r="B1040" t="s">
        <v>93</v>
      </c>
      <c r="C1040">
        <v>-0.51</v>
      </c>
      <c r="D1040">
        <v>-0.56272976935214891</v>
      </c>
      <c r="E1040">
        <v>8.4816721852661744E-2</v>
      </c>
      <c r="F1040">
        <v>124.99012857500114</v>
      </c>
    </row>
    <row r="1041" spans="1:6" x14ac:dyDescent="0.3">
      <c r="A1041">
        <v>0.05</v>
      </c>
      <c r="B1041" t="s">
        <v>93</v>
      </c>
      <c r="C1041">
        <v>-0.5</v>
      </c>
      <c r="D1041">
        <v>-0.54930614433405489</v>
      </c>
      <c r="E1041">
        <v>8.4597762199665E-2</v>
      </c>
      <c r="F1041">
        <v>127.75785411995015</v>
      </c>
    </row>
    <row r="1042" spans="1:6" x14ac:dyDescent="0.3">
      <c r="A1042">
        <v>0.05</v>
      </c>
      <c r="B1042" t="s">
        <v>93</v>
      </c>
      <c r="C1042">
        <v>-0.49</v>
      </c>
      <c r="D1042">
        <v>-0.53606033661056662</v>
      </c>
      <c r="E1042">
        <v>8.4373476342065878E-2</v>
      </c>
      <c r="F1042">
        <v>130.61538010626768</v>
      </c>
    </row>
    <row r="1043" spans="1:6" x14ac:dyDescent="0.3">
      <c r="A1043">
        <v>0.05</v>
      </c>
      <c r="B1043" t="s">
        <v>93</v>
      </c>
      <c r="C1043">
        <v>-0.48</v>
      </c>
      <c r="D1043">
        <v>-0.5229842775913438</v>
      </c>
      <c r="E1043">
        <v>8.4143562783785236E-2</v>
      </c>
      <c r="F1043">
        <v>133.56825265624923</v>
      </c>
    </row>
    <row r="1044" spans="1:6" x14ac:dyDescent="0.3">
      <c r="A1044">
        <v>0.05</v>
      </c>
      <c r="B1044" t="s">
        <v>93</v>
      </c>
      <c r="C1044">
        <v>-0.47</v>
      </c>
      <c r="D1044">
        <v>-0.51007033661330725</v>
      </c>
      <c r="E1044">
        <v>8.3907731427558127E-2</v>
      </c>
      <c r="F1044">
        <v>136.62241477583959</v>
      </c>
    </row>
    <row r="1045" spans="1:6" x14ac:dyDescent="0.3">
      <c r="A1045">
        <v>0.05</v>
      </c>
      <c r="B1045" t="s">
        <v>93</v>
      </c>
      <c r="C1045">
        <v>-0.46</v>
      </c>
      <c r="D1045">
        <v>-0.49731128757203097</v>
      </c>
      <c r="E1045">
        <v>8.3665668830581366E-2</v>
      </c>
      <c r="F1045">
        <v>139.78427808484673</v>
      </c>
    </row>
    <row r="1046" spans="1:6" x14ac:dyDescent="0.3">
      <c r="A1046">
        <v>0.05</v>
      </c>
      <c r="B1046" t="s">
        <v>93</v>
      </c>
      <c r="C1046">
        <v>-0.45</v>
      </c>
      <c r="D1046">
        <v>-0.48470027859405168</v>
      </c>
      <c r="E1046">
        <v>8.3417019028920167E-2</v>
      </c>
      <c r="F1046">
        <v>143.06078958812847</v>
      </c>
    </row>
    <row r="1047" spans="1:6" x14ac:dyDescent="0.3">
      <c r="A1047">
        <v>0.05</v>
      </c>
      <c r="B1047" t="s">
        <v>93</v>
      </c>
      <c r="C1047">
        <v>-0.44</v>
      </c>
      <c r="D1047">
        <v>-0.47223080442042559</v>
      </c>
      <c r="E1047">
        <v>8.3161423124481104E-2</v>
      </c>
      <c r="F1047">
        <v>146.45944873694478</v>
      </c>
    </row>
    <row r="1048" spans="1:6" x14ac:dyDescent="0.3">
      <c r="A1048">
        <v>0.05</v>
      </c>
      <c r="B1048" t="s">
        <v>93</v>
      </c>
      <c r="C1048">
        <v>-0.43</v>
      </c>
      <c r="D1048">
        <v>-0.45989668121267852</v>
      </c>
      <c r="E1048">
        <v>8.2898501385107792E-2</v>
      </c>
      <c r="F1048">
        <v>149.9883836683176</v>
      </c>
    </row>
    <row r="1049" spans="1:6" x14ac:dyDescent="0.3">
      <c r="A1049">
        <v>0.05</v>
      </c>
      <c r="B1049" t="s">
        <v>93</v>
      </c>
      <c r="C1049">
        <v>-0.42</v>
      </c>
      <c r="D1049">
        <v>-0.4476920235274206</v>
      </c>
      <c r="E1049">
        <v>8.2627849110302951E-2</v>
      </c>
      <c r="F1049">
        <v>153.65642343898509</v>
      </c>
    </row>
    <row r="1050" spans="1:6" x14ac:dyDescent="0.3">
      <c r="A1050">
        <v>0.05</v>
      </c>
      <c r="B1050" t="s">
        <v>93</v>
      </c>
      <c r="C1050">
        <v>-0.41</v>
      </c>
      <c r="D1050">
        <v>-0.43561122323622431</v>
      </c>
      <c r="E1050">
        <v>8.2349013093137247E-2</v>
      </c>
      <c r="F1050">
        <v>157.47320106328056</v>
      </c>
    </row>
    <row r="1051" spans="1:6" x14ac:dyDescent="0.3">
      <c r="A1051">
        <v>0.05</v>
      </c>
      <c r="B1051" t="s">
        <v>93</v>
      </c>
      <c r="C1051">
        <v>-0.4</v>
      </c>
      <c r="D1051">
        <v>-0.42364893019360178</v>
      </c>
      <c r="E1051">
        <v>8.2061524183824994E-2</v>
      </c>
      <c r="F1051">
        <v>161.44920836879407</v>
      </c>
    </row>
    <row r="1052" spans="1:6" x14ac:dyDescent="0.3">
      <c r="A1052">
        <v>0.05</v>
      </c>
      <c r="B1052" t="s">
        <v>93</v>
      </c>
      <c r="C1052">
        <v>-0.39</v>
      </c>
      <c r="D1052">
        <v>-0.41180003447869035</v>
      </c>
      <c r="E1052">
        <v>8.1764887367284003E-2</v>
      </c>
      <c r="F1052">
        <v>165.59590577910893</v>
      </c>
    </row>
    <row r="1053" spans="1:6" x14ac:dyDescent="0.3">
      <c r="A1053">
        <v>0.05</v>
      </c>
      <c r="B1053" t="s">
        <v>93</v>
      </c>
      <c r="C1053">
        <v>-0.38</v>
      </c>
      <c r="D1053">
        <v>-0.40005965005605654</v>
      </c>
      <c r="E1053">
        <v>8.1458534342258165E-2</v>
      </c>
      <c r="F1053">
        <v>169.92589310015117</v>
      </c>
    </row>
    <row r="1054" spans="1:6" x14ac:dyDescent="0.3">
      <c r="A1054">
        <v>0.05</v>
      </c>
      <c r="B1054" t="s">
        <v>93</v>
      </c>
      <c r="C1054">
        <v>-0.37</v>
      </c>
      <c r="D1054">
        <v>-0.38842309971829614</v>
      </c>
      <c r="E1054">
        <v>8.1141906904546673E-2</v>
      </c>
      <c r="F1054">
        <v>174.45294547822598</v>
      </c>
    </row>
    <row r="1055" spans="1:6" x14ac:dyDescent="0.3">
      <c r="A1055">
        <v>0.05</v>
      </c>
      <c r="B1055" t="s">
        <v>93</v>
      </c>
      <c r="C1055">
        <v>-0.36</v>
      </c>
      <c r="D1055">
        <v>-0.37688590118819004</v>
      </c>
      <c r="E1055">
        <v>8.0814334606099297E-2</v>
      </c>
      <c r="F1055">
        <v>179.19231313263745</v>
      </c>
    </row>
    <row r="1056" spans="1:6" x14ac:dyDescent="0.3">
      <c r="A1056">
        <v>0.05</v>
      </c>
      <c r="B1056" t="s">
        <v>93</v>
      </c>
      <c r="C1056">
        <v>-0.35</v>
      </c>
      <c r="D1056">
        <v>-0.36544375427139619</v>
      </c>
      <c r="E1056">
        <v>8.0475176224719114E-2</v>
      </c>
      <c r="F1056">
        <v>184.16072450479157</v>
      </c>
    </row>
    <row r="1057" spans="1:6" x14ac:dyDescent="0.3">
      <c r="A1057">
        <v>0.05</v>
      </c>
      <c r="B1057" t="s">
        <v>93</v>
      </c>
      <c r="C1057">
        <v>-0.34</v>
      </c>
      <c r="D1057">
        <v>-0.35409252896224297</v>
      </c>
      <c r="E1057">
        <v>8.012364883646951E-2</v>
      </c>
      <c r="F1057">
        <v>189.37680938859953</v>
      </c>
    </row>
    <row r="1058" spans="1:6" x14ac:dyDescent="0.3">
      <c r="A1058">
        <v>0.05</v>
      </c>
      <c r="B1058" t="s">
        <v>93</v>
      </c>
      <c r="C1058">
        <v>-0.33</v>
      </c>
      <c r="D1058">
        <v>-0.34282825441539394</v>
      </c>
      <c r="E1058">
        <v>7.9758977764651365E-2</v>
      </c>
      <c r="F1058">
        <v>194.8611451329468</v>
      </c>
    </row>
    <row r="1059" spans="1:6" x14ac:dyDescent="0.3">
      <c r="A1059">
        <v>0.05</v>
      </c>
      <c r="B1059" t="s">
        <v>93</v>
      </c>
      <c r="C1059">
        <v>-0.32</v>
      </c>
      <c r="D1059">
        <v>-0.3316471087051322</v>
      </c>
      <c r="E1059">
        <v>7.9380267107107327E-2</v>
      </c>
      <c r="F1059">
        <v>200.6367119465115</v>
      </c>
    </row>
    <row r="1060" spans="1:6" x14ac:dyDescent="0.3">
      <c r="A1060">
        <v>0.05</v>
      </c>
      <c r="B1060" t="s">
        <v>93</v>
      </c>
      <c r="C1060">
        <v>-0.31</v>
      </c>
      <c r="D1060">
        <v>-0.32054540930194608</v>
      </c>
      <c r="E1060">
        <v>7.8986565797612346E-2</v>
      </c>
      <c r="F1060">
        <v>206.72913580887507</v>
      </c>
    </row>
    <row r="1061" spans="1:6" x14ac:dyDescent="0.3">
      <c r="A1061">
        <v>0.05</v>
      </c>
      <c r="B1061" t="s">
        <v>93</v>
      </c>
      <c r="C1061">
        <v>-0.3</v>
      </c>
      <c r="D1061">
        <v>-0.30951960420311175</v>
      </c>
      <c r="E1061">
        <v>7.8576843838656957E-2</v>
      </c>
      <c r="F1061">
        <v>213.16711148399187</v>
      </c>
    </row>
    <row r="1062" spans="1:6" x14ac:dyDescent="0.3">
      <c r="A1062">
        <v>0.05</v>
      </c>
      <c r="B1062" t="s">
        <v>93</v>
      </c>
      <c r="C1062">
        <v>-0.28999999999999998</v>
      </c>
      <c r="D1062">
        <v>-0.29856626366017835</v>
      </c>
      <c r="E1062">
        <v>7.814994168492484E-2</v>
      </c>
      <c r="F1062">
        <v>219.98294894054737</v>
      </c>
    </row>
    <row r="1063" spans="1:6" x14ac:dyDescent="0.3">
      <c r="A1063">
        <v>0.05</v>
      </c>
      <c r="B1063" t="s">
        <v>93</v>
      </c>
      <c r="C1063">
        <v>-0.28000000000000003</v>
      </c>
      <c r="D1063">
        <v>-0.2876820724517809</v>
      </c>
      <c r="E1063">
        <v>7.7704614934720612E-2</v>
      </c>
      <c r="F1063">
        <v>227.21306139131102</v>
      </c>
    </row>
    <row r="1064" spans="1:6" x14ac:dyDescent="0.3">
      <c r="A1064">
        <v>0.05</v>
      </c>
      <c r="B1064" t="s">
        <v>93</v>
      </c>
      <c r="C1064">
        <v>-0.27</v>
      </c>
      <c r="D1064">
        <v>-0.27686382265510007</v>
      </c>
      <c r="E1064">
        <v>7.7239481464617538E-2</v>
      </c>
      <c r="F1064">
        <v>234.89871939878185</v>
      </c>
    </row>
    <row r="1065" spans="1:6" x14ac:dyDescent="0.3">
      <c r="A1065">
        <v>0.05</v>
      </c>
      <c r="B1065" t="s">
        <v>93</v>
      </c>
      <c r="C1065">
        <v>-0.26</v>
      </c>
      <c r="D1065">
        <v>-0.26610840687365411</v>
      </c>
      <c r="E1065">
        <v>7.6752997743723073E-2</v>
      </c>
      <c r="F1065">
        <v>243.08690667621556</v>
      </c>
    </row>
    <row r="1066" spans="1:6" x14ac:dyDescent="0.3">
      <c r="A1066">
        <v>0.05</v>
      </c>
      <c r="B1066" t="s">
        <v>93</v>
      </c>
      <c r="C1066">
        <v>-0.25</v>
      </c>
      <c r="D1066">
        <v>-0.25541281188299536</v>
      </c>
      <c r="E1066">
        <v>7.6243493645765353E-2</v>
      </c>
      <c r="F1066">
        <v>251.83123994894299</v>
      </c>
    </row>
    <row r="1067" spans="1:6" x14ac:dyDescent="0.3">
      <c r="A1067">
        <v>0.05</v>
      </c>
      <c r="B1067" t="s">
        <v>93</v>
      </c>
      <c r="C1067">
        <v>-0.24</v>
      </c>
      <c r="D1067">
        <v>-0.24477411265935289</v>
      </c>
      <c r="E1067">
        <v>7.57090881047284E-2</v>
      </c>
      <c r="F1067">
        <v>261.19333003175683</v>
      </c>
    </row>
    <row r="1068" spans="1:6" x14ac:dyDescent="0.3">
      <c r="A1068">
        <v>0.05</v>
      </c>
      <c r="B1068" t="s">
        <v>93</v>
      </c>
      <c r="C1068">
        <v>-0.23</v>
      </c>
      <c r="D1068">
        <v>-0.23418946675936678</v>
      </c>
      <c r="E1068">
        <v>7.5147685966360178E-2</v>
      </c>
      <c r="F1068">
        <v>271.24428224790091</v>
      </c>
    </row>
    <row r="1069" spans="1:6" x14ac:dyDescent="0.3">
      <c r="A1069">
        <v>0.05</v>
      </c>
      <c r="B1069" t="s">
        <v>93</v>
      </c>
      <c r="C1069">
        <v>-0.22</v>
      </c>
      <c r="D1069">
        <v>-0.22365610902183239</v>
      </c>
      <c r="E1069">
        <v>7.4556957586307496E-2</v>
      </c>
      <c r="F1069">
        <v>282.0665866679098</v>
      </c>
    </row>
    <row r="1070" spans="1:6" x14ac:dyDescent="0.3">
      <c r="A1070">
        <v>0.05</v>
      </c>
      <c r="B1070" t="s">
        <v>93</v>
      </c>
      <c r="C1070">
        <v>-0.21</v>
      </c>
      <c r="D1070">
        <v>-0.21317134656485975</v>
      </c>
      <c r="E1070">
        <v>7.3934232525843802E-2</v>
      </c>
      <c r="F1070">
        <v>293.75668117421714</v>
      </c>
    </row>
    <row r="1071" spans="1:6" x14ac:dyDescent="0.3">
      <c r="A1071">
        <v>0.05</v>
      </c>
      <c r="B1071" t="s">
        <v>93</v>
      </c>
      <c r="C1071">
        <v>-0.2</v>
      </c>
      <c r="D1071">
        <v>-0.20273255405408214</v>
      </c>
      <c r="E1071">
        <v>7.3276579614628676E-2</v>
      </c>
      <c r="F1071">
        <v>306.4277062111924</v>
      </c>
    </row>
    <row r="1072" spans="1:6" x14ac:dyDescent="0.3">
      <c r="A1072">
        <v>0.05</v>
      </c>
      <c r="B1072" t="s">
        <v>93</v>
      </c>
      <c r="C1072">
        <v>-0.19</v>
      </c>
      <c r="D1072">
        <v>-0.1923371692195453</v>
      </c>
      <c r="E1072">
        <v>7.2580616094060552E-2</v>
      </c>
      <c r="F1072">
        <v>320.21371667602199</v>
      </c>
    </row>
    <row r="1073" spans="1:6" x14ac:dyDescent="0.3">
      <c r="A1073">
        <v>0.05</v>
      </c>
      <c r="B1073" t="s">
        <v>93</v>
      </c>
      <c r="C1073">
        <v>-0.18</v>
      </c>
      <c r="D1073">
        <v>-0.18198268860070579</v>
      </c>
      <c r="E1073">
        <v>7.1842512772771247E-2</v>
      </c>
      <c r="F1073">
        <v>335.27454722741919</v>
      </c>
    </row>
    <row r="1074" spans="1:6" x14ac:dyDescent="0.3">
      <c r="A1074">
        <v>0.05</v>
      </c>
      <c r="B1074" t="s">
        <v>93</v>
      </c>
      <c r="C1074">
        <v>-0.17</v>
      </c>
      <c r="D1074">
        <v>-0.17166666350057908</v>
      </c>
      <c r="E1074">
        <v>7.1057863925203676E-2</v>
      </c>
      <c r="F1074">
        <v>351.80252970052885</v>
      </c>
    </row>
    <row r="1075" spans="1:6" x14ac:dyDescent="0.3">
      <c r="A1075">
        <v>0.05</v>
      </c>
      <c r="B1075" t="s">
        <v>93</v>
      </c>
      <c r="C1075">
        <v>-0.16</v>
      </c>
      <c r="D1075">
        <v>-0.16138669613152551</v>
      </c>
      <c r="E1075">
        <v>7.0221591213227713E-2</v>
      </c>
      <c r="F1075">
        <v>370.0312255160253</v>
      </c>
    </row>
    <row r="1076" spans="1:6" x14ac:dyDescent="0.3">
      <c r="A1076">
        <v>0.05</v>
      </c>
      <c r="B1076" t="s">
        <v>93</v>
      </c>
      <c r="C1076">
        <v>-0.15</v>
      </c>
      <c r="D1076">
        <v>-0.15114043593646675</v>
      </c>
      <c r="E1076">
        <v>6.9327819810111768E-2</v>
      </c>
      <c r="F1076">
        <v>390.24716659450979</v>
      </c>
    </row>
    <row r="1077" spans="1:6" x14ac:dyDescent="0.3">
      <c r="A1077">
        <v>0.05</v>
      </c>
      <c r="B1077" t="s">
        <v>93</v>
      </c>
      <c r="C1077">
        <v>-0.14000000000000001</v>
      </c>
      <c r="D1077">
        <v>-0.14092557607049394</v>
      </c>
      <c r="E1077">
        <v>6.8369652266536324E-2</v>
      </c>
      <c r="F1077">
        <v>412.80615311368825</v>
      </c>
    </row>
    <row r="1078" spans="1:6" x14ac:dyDescent="0.3">
      <c r="A1078">
        <v>0.05</v>
      </c>
      <c r="B1078" t="s">
        <v>93</v>
      </c>
      <c r="C1078">
        <v>-0.13</v>
      </c>
      <c r="D1078">
        <v>-0.13073985002887836</v>
      </c>
      <c r="E1078">
        <v>6.7338976817273979E-2</v>
      </c>
      <c r="F1078">
        <v>438.15559965373342</v>
      </c>
    </row>
    <row r="1079" spans="1:6" x14ac:dyDescent="0.3">
      <c r="A1079">
        <v>0.05</v>
      </c>
      <c r="B1079" t="s">
        <v>93</v>
      </c>
      <c r="C1079">
        <v>-0.12</v>
      </c>
      <c r="D1079">
        <v>-0.12058102840844405</v>
      </c>
      <c r="E1079">
        <v>6.6226081623859387E-2</v>
      </c>
      <c r="F1079">
        <v>466.86683825710787</v>
      </c>
    </row>
    <row r="1080" spans="1:6" x14ac:dyDescent="0.3">
      <c r="A1080">
        <v>0.05</v>
      </c>
      <c r="B1080" t="s">
        <v>93</v>
      </c>
      <c r="C1080">
        <v>-0.11</v>
      </c>
      <c r="D1080">
        <v>-0.1104469157900972</v>
      </c>
      <c r="E1080">
        <v>6.5019298519193386E-2</v>
      </c>
      <c r="F1080">
        <v>499.68147498831735</v>
      </c>
    </row>
    <row r="1081" spans="1:6" x14ac:dyDescent="0.3">
      <c r="A1081">
        <v>0.05</v>
      </c>
      <c r="B1081" t="s">
        <v>93</v>
      </c>
      <c r="C1081">
        <v>-0.1</v>
      </c>
      <c r="D1081">
        <v>-0.10033534773107562</v>
      </c>
      <c r="E1081">
        <v>6.3704346703095507E-2</v>
      </c>
      <c r="F1081">
        <v>537.58145349799997</v>
      </c>
    </row>
    <row r="1082" spans="1:6" x14ac:dyDescent="0.3">
      <c r="A1082">
        <v>0.05</v>
      </c>
      <c r="B1082" t="s">
        <v>93</v>
      </c>
      <c r="C1082">
        <v>-0.09</v>
      </c>
      <c r="D1082">
        <v>-9.0244187856146837E-2</v>
      </c>
      <c r="E1082">
        <v>6.2263558775965129E-2</v>
      </c>
      <c r="F1082">
        <v>581.89638302068511</v>
      </c>
    </row>
    <row r="1083" spans="1:6" x14ac:dyDescent="0.3">
      <c r="A1083">
        <v>0.05</v>
      </c>
      <c r="B1083" t="s">
        <v>93</v>
      </c>
      <c r="C1083">
        <v>-0.08</v>
      </c>
      <c r="D1083">
        <v>-8.0171325037589683E-2</v>
      </c>
      <c r="E1083">
        <v>6.0674586105263474E-2</v>
      </c>
      <c r="F1083">
        <v>634.476192149344</v>
      </c>
    </row>
    <row r="1084" spans="1:6" x14ac:dyDescent="0.3">
      <c r="A1084">
        <v>0.05</v>
      </c>
      <c r="B1084" t="s">
        <v>93</v>
      </c>
      <c r="C1084">
        <v>-7.0000000000000007E-2</v>
      </c>
      <c r="D1084">
        <v>-7.0114670654325195E-2</v>
      </c>
      <c r="E1084">
        <v>5.8908554634554224E-2</v>
      </c>
      <c r="F1084">
        <v>697.97909708473674</v>
      </c>
    </row>
    <row r="1085" spans="1:6" x14ac:dyDescent="0.3">
      <c r="A1085">
        <v>0.05</v>
      </c>
      <c r="B1085" t="s">
        <v>93</v>
      </c>
      <c r="C1085">
        <v>-0.06</v>
      </c>
      <c r="D1085">
        <v>-6.007215592103167E-2</v>
      </c>
      <c r="E1085">
        <v>5.6927163307942424E-2</v>
      </c>
      <c r="F1085">
        <v>776.37866952632737</v>
      </c>
    </row>
    <row r="1086" spans="1:6" x14ac:dyDescent="0.3">
      <c r="A1086">
        <v>0.05</v>
      </c>
      <c r="B1086" t="s">
        <v>93</v>
      </c>
      <c r="C1086">
        <v>-0.05</v>
      </c>
      <c r="D1086">
        <v>-5.0041729278491327E-2</v>
      </c>
      <c r="E1086">
        <v>5.4677708061476302E-2</v>
      </c>
      <c r="F1086">
        <v>875.91868371647183</v>
      </c>
    </row>
    <row r="1087" spans="1:6" x14ac:dyDescent="0.3">
      <c r="A1087">
        <v>0.05</v>
      </c>
      <c r="B1087" t="s">
        <v>93</v>
      </c>
      <c r="C1087">
        <v>-0.04</v>
      </c>
      <c r="D1087">
        <v>-4.0021353836768248E-2</v>
      </c>
      <c r="E1087">
        <v>5.2084248193983808E-2</v>
      </c>
      <c r="F1087">
        <v>1007.0655164152113</v>
      </c>
    </row>
    <row r="1088" spans="1:6" x14ac:dyDescent="0.3">
      <c r="A1088">
        <v>0.05</v>
      </c>
      <c r="B1088" t="s">
        <v>93</v>
      </c>
      <c r="C1088">
        <v>-0.03</v>
      </c>
      <c r="D1088">
        <v>-3.000900486312652E-2</v>
      </c>
      <c r="E1088">
        <v>4.9030165823052196E-2</v>
      </c>
      <c r="F1088">
        <v>1188.9732331548423</v>
      </c>
    </row>
    <row r="1089" spans="1:6" x14ac:dyDescent="0.3">
      <c r="A1089">
        <v>0.05</v>
      </c>
      <c r="B1089" t="s">
        <v>93</v>
      </c>
      <c r="C1089">
        <v>-0.02</v>
      </c>
      <c r="D1089">
        <v>-2.0002667306849624E-2</v>
      </c>
      <c r="E1089">
        <v>4.5318445134112297E-2</v>
      </c>
      <c r="F1089">
        <v>1461.4498972596671</v>
      </c>
    </row>
    <row r="1090" spans="1:6" x14ac:dyDescent="0.3">
      <c r="A1090">
        <v>0.05</v>
      </c>
      <c r="B1090" t="s">
        <v>93</v>
      </c>
      <c r="C1090">
        <v>-0.01</v>
      </c>
      <c r="D1090">
        <v>-1.0000333353334771E-2</v>
      </c>
      <c r="E1090">
        <v>4.056089187249208E-2</v>
      </c>
      <c r="F1090">
        <v>1925.9692563409506</v>
      </c>
    </row>
    <row r="1091" spans="1:6" x14ac:dyDescent="0.3">
      <c r="A1091">
        <v>0.01</v>
      </c>
      <c r="B1091" t="s">
        <v>93</v>
      </c>
      <c r="C1091">
        <v>-0.99</v>
      </c>
      <c r="D1091">
        <v>-2.6466524123622457</v>
      </c>
      <c r="E1091">
        <v>0.12353603873675066</v>
      </c>
      <c r="F1091">
        <v>25.757268062073862</v>
      </c>
    </row>
    <row r="1092" spans="1:6" x14ac:dyDescent="0.3">
      <c r="A1092">
        <v>0.01</v>
      </c>
      <c r="B1092" t="s">
        <v>93</v>
      </c>
      <c r="C1092">
        <v>-0.98</v>
      </c>
      <c r="D1092">
        <v>-2.2975599250672945</v>
      </c>
      <c r="E1092">
        <v>0.12306036566897159</v>
      </c>
      <c r="F1092">
        <v>29.124666768289927</v>
      </c>
    </row>
    <row r="1093" spans="1:6" x14ac:dyDescent="0.3">
      <c r="A1093">
        <v>0.01</v>
      </c>
      <c r="B1093" t="s">
        <v>93</v>
      </c>
      <c r="C1093">
        <v>-0.97</v>
      </c>
      <c r="D1093">
        <v>-2.0922957200349388</v>
      </c>
      <c r="E1093">
        <v>0.12271219074543703</v>
      </c>
      <c r="F1093">
        <v>31.614501207001201</v>
      </c>
    </row>
    <row r="1094" spans="1:6" x14ac:dyDescent="0.3">
      <c r="A1094">
        <v>0.01</v>
      </c>
      <c r="B1094" t="s">
        <v>93</v>
      </c>
      <c r="C1094">
        <v>-0.96</v>
      </c>
      <c r="D1094">
        <v>-1.9459101490553128</v>
      </c>
      <c r="E1094">
        <v>0.12242262061546001</v>
      </c>
      <c r="F1094">
        <v>33.70136989619931</v>
      </c>
    </row>
    <row r="1095" spans="1:6" x14ac:dyDescent="0.3">
      <c r="A1095">
        <v>0.01</v>
      </c>
      <c r="B1095" t="s">
        <v>93</v>
      </c>
      <c r="C1095">
        <v>-0.95</v>
      </c>
      <c r="D1095">
        <v>-1.8317808230648227</v>
      </c>
      <c r="E1095">
        <v>0.12216747314986988</v>
      </c>
      <c r="F1095">
        <v>35.552432584391767</v>
      </c>
    </row>
    <row r="1096" spans="1:6" x14ac:dyDescent="0.3">
      <c r="A1096">
        <v>0.01</v>
      </c>
      <c r="B1096" t="s">
        <v>93</v>
      </c>
      <c r="C1096">
        <v>-0.94</v>
      </c>
      <c r="D1096">
        <v>-1.7380493449176362</v>
      </c>
      <c r="E1096">
        <v>0.12193510458606141</v>
      </c>
      <c r="F1096">
        <v>37.248407856959552</v>
      </c>
    </row>
    <row r="1097" spans="1:6" x14ac:dyDescent="0.3">
      <c r="A1097">
        <v>0.01</v>
      </c>
      <c r="B1097" t="s">
        <v>93</v>
      </c>
      <c r="C1097">
        <v>-0.93</v>
      </c>
      <c r="D1097">
        <v>-1.6583900199247865</v>
      </c>
      <c r="E1097">
        <v>0.12171888615915398</v>
      </c>
      <c r="F1097">
        <v>38.835216490447053</v>
      </c>
    </row>
    <row r="1098" spans="1:6" x14ac:dyDescent="0.3">
      <c r="A1098">
        <v>0.01</v>
      </c>
      <c r="B1098" t="s">
        <v>93</v>
      </c>
      <c r="C1098">
        <v>-0.92</v>
      </c>
      <c r="D1098">
        <v>-1.5890269151739731</v>
      </c>
      <c r="E1098">
        <v>0.12151466178188594</v>
      </c>
      <c r="F1098">
        <v>40.341815790995895</v>
      </c>
    </row>
    <row r="1099" spans="1:6" x14ac:dyDescent="0.3">
      <c r="A1099">
        <v>0.01</v>
      </c>
      <c r="B1099" t="s">
        <v>93</v>
      </c>
      <c r="C1099">
        <v>-0.91</v>
      </c>
      <c r="D1099">
        <v>-1.5275244253552054</v>
      </c>
      <c r="E1099">
        <v>0.1213196099026381</v>
      </c>
      <c r="F1099">
        <v>41.787834674596276</v>
      </c>
    </row>
    <row r="1100" spans="1:6" x14ac:dyDescent="0.3">
      <c r="A1100">
        <v>0.01</v>
      </c>
      <c r="B1100" t="s">
        <v>93</v>
      </c>
      <c r="C1100">
        <v>-0.9</v>
      </c>
      <c r="D1100">
        <v>-1.4722194895832204</v>
      </c>
      <c r="E1100">
        <v>0.12113171789423408</v>
      </c>
      <c r="F1100">
        <v>43.187311529773908</v>
      </c>
    </row>
    <row r="1101" spans="1:6" x14ac:dyDescent="0.3">
      <c r="A1101">
        <v>0.01</v>
      </c>
      <c r="B1101" t="s">
        <v>93</v>
      </c>
      <c r="C1101">
        <v>-0.89</v>
      </c>
      <c r="D1101">
        <v>-1.421925871130636</v>
      </c>
      <c r="E1101">
        <v>0.12094952542311245</v>
      </c>
      <c r="F1101">
        <v>44.550707719193781</v>
      </c>
    </row>
    <row r="1102" spans="1:6" x14ac:dyDescent="0.3">
      <c r="A1102">
        <v>0.01</v>
      </c>
      <c r="B1102" t="s">
        <v>93</v>
      </c>
      <c r="C1102">
        <v>-0.88</v>
      </c>
      <c r="D1102">
        <v>-1.3757676565209744</v>
      </c>
      <c r="E1102">
        <v>0.12077185619192465</v>
      </c>
      <c r="F1102">
        <v>45.886114150266351</v>
      </c>
    </row>
    <row r="1103" spans="1:6" x14ac:dyDescent="0.3">
      <c r="A1103">
        <v>0.01</v>
      </c>
      <c r="B1103" t="s">
        <v>93</v>
      </c>
      <c r="C1103">
        <v>-0.87</v>
      </c>
      <c r="D1103">
        <v>-1.333079629696525</v>
      </c>
      <c r="E1103">
        <v>0.12059781916640422</v>
      </c>
      <c r="F1103">
        <v>47.199947985271599</v>
      </c>
    </row>
    <row r="1104" spans="1:6" x14ac:dyDescent="0.3">
      <c r="A1104">
        <v>0.01</v>
      </c>
      <c r="B1104" t="s">
        <v>93</v>
      </c>
      <c r="C1104">
        <v>-0.86</v>
      </c>
      <c r="D1104">
        <v>-1.2933446720489712</v>
      </c>
      <c r="E1104">
        <v>0.12042669028983112</v>
      </c>
      <c r="F1104">
        <v>48.497436458072258</v>
      </c>
    </row>
    <row r="1105" spans="1:6" x14ac:dyDescent="0.3">
      <c r="A1105">
        <v>0.01</v>
      </c>
      <c r="B1105" t="s">
        <v>93</v>
      </c>
      <c r="C1105">
        <v>-0.85</v>
      </c>
      <c r="D1105">
        <v>-1.2561528119880574</v>
      </c>
      <c r="E1105">
        <v>0.12025785625349196</v>
      </c>
      <c r="F1105">
        <v>49.782936105464167</v>
      </c>
    </row>
    <row r="1106" spans="1:6" x14ac:dyDescent="0.3">
      <c r="A1106">
        <v>0.01</v>
      </c>
      <c r="B1106" t="s">
        <v>93</v>
      </c>
      <c r="C1106">
        <v>-0.84</v>
      </c>
      <c r="D1106">
        <v>-1.2211735176846021</v>
      </c>
      <c r="E1106">
        <v>0.12009080816826351</v>
      </c>
      <c r="F1106">
        <v>51.060143638986979</v>
      </c>
    </row>
    <row r="1107" spans="1:6" x14ac:dyDescent="0.3">
      <c r="A1107">
        <v>0.01</v>
      </c>
      <c r="B1107" t="s">
        <v>93</v>
      </c>
      <c r="C1107">
        <v>-0.83</v>
      </c>
      <c r="D1107">
        <v>-1.1881364043926024</v>
      </c>
      <c r="E1107">
        <v>0.11992512166542735</v>
      </c>
      <c r="F1107">
        <v>52.332250595254891</v>
      </c>
    </row>
    <row r="1108" spans="1:6" x14ac:dyDescent="0.3">
      <c r="A1108">
        <v>0.01</v>
      </c>
      <c r="B1108" t="s">
        <v>93</v>
      </c>
      <c r="C1108">
        <v>-0.82</v>
      </c>
      <c r="D1108">
        <v>-1.1568174645903151</v>
      </c>
      <c r="E1108">
        <v>0.11976041544828712</v>
      </c>
      <c r="F1108">
        <v>53.602065858304449</v>
      </c>
    </row>
    <row r="1109" spans="1:6" x14ac:dyDescent="0.3">
      <c r="A1109">
        <v>0.01</v>
      </c>
      <c r="B1109" t="s">
        <v>93</v>
      </c>
      <c r="C1109">
        <v>-0.81</v>
      </c>
      <c r="D1109">
        <v>-1.1270290260496929</v>
      </c>
      <c r="E1109">
        <v>0.11959636283377509</v>
      </c>
      <c r="F1109">
        <v>54.87209262123551</v>
      </c>
    </row>
    <row r="1110" spans="1:6" x14ac:dyDescent="0.3">
      <c r="A1110">
        <v>0.01</v>
      </c>
      <c r="B1110" t="s">
        <v>93</v>
      </c>
      <c r="C1110">
        <v>-0.8</v>
      </c>
      <c r="D1110">
        <v>-1.0986122886681098</v>
      </c>
      <c r="E1110">
        <v>0.11943265132902273</v>
      </c>
      <c r="F1110">
        <v>56.144604645094091</v>
      </c>
    </row>
    <row r="1111" spans="1:6" x14ac:dyDescent="0.3">
      <c r="A1111">
        <v>0.01</v>
      </c>
      <c r="B1111" t="s">
        <v>93</v>
      </c>
      <c r="C1111">
        <v>-0.79</v>
      </c>
      <c r="D1111">
        <v>-1.0714316840586662</v>
      </c>
      <c r="E1111">
        <v>0.11926903479257528</v>
      </c>
      <c r="F1111">
        <v>57.42167436636695</v>
      </c>
    </row>
    <row r="1112" spans="1:6" x14ac:dyDescent="0.3">
      <c r="A1112">
        <v>0.01</v>
      </c>
      <c r="B1112" t="s">
        <v>93</v>
      </c>
      <c r="C1112">
        <v>-0.78</v>
      </c>
      <c r="D1112">
        <v>-1.0453705484668847</v>
      </c>
      <c r="E1112">
        <v>0.11910527497619065</v>
      </c>
      <c r="F1112">
        <v>58.705231940045316</v>
      </c>
    </row>
    <row r="1113" spans="1:6" x14ac:dyDescent="0.3">
      <c r="A1113">
        <v>0.01</v>
      </c>
      <c r="B1113" t="s">
        <v>93</v>
      </c>
      <c r="C1113">
        <v>-0.77</v>
      </c>
      <c r="D1113">
        <v>-1.0203277583223398</v>
      </c>
      <c r="E1113">
        <v>0.11894111085049333</v>
      </c>
      <c r="F1113">
        <v>59.997108593343022</v>
      </c>
    </row>
    <row r="1114" spans="1:6" x14ac:dyDescent="0.3">
      <c r="A1114">
        <v>0.01</v>
      </c>
      <c r="B1114" t="s">
        <v>93</v>
      </c>
      <c r="C1114">
        <v>-0.76</v>
      </c>
      <c r="D1114">
        <v>-0.99621508234510314</v>
      </c>
      <c r="E1114">
        <v>0.11877637601148899</v>
      </c>
      <c r="F1114">
        <v>61.299013611044089</v>
      </c>
    </row>
    <row r="1115" spans="1:6" x14ac:dyDescent="0.3">
      <c r="A1115">
        <v>0.01</v>
      </c>
      <c r="B1115" t="s">
        <v>93</v>
      </c>
      <c r="C1115">
        <v>-0.75</v>
      </c>
      <c r="D1115">
        <v>-0.97295507452765673</v>
      </c>
      <c r="E1115">
        <v>0.11861083016712611</v>
      </c>
      <c r="F1115">
        <v>62.612623310180396</v>
      </c>
    </row>
    <row r="1116" spans="1:6" x14ac:dyDescent="0.3">
      <c r="A1116">
        <v>0.01</v>
      </c>
      <c r="B1116" t="s">
        <v>93</v>
      </c>
      <c r="C1116">
        <v>-0.74</v>
      </c>
      <c r="D1116">
        <v>-0.95047938059652348</v>
      </c>
      <c r="E1116">
        <v>0.11844432393093743</v>
      </c>
      <c r="F1116">
        <v>63.939529536312804</v>
      </c>
    </row>
    <row r="1117" spans="1:6" x14ac:dyDescent="0.3">
      <c r="A1117">
        <v>0.01</v>
      </c>
      <c r="B1117" t="s">
        <v>93</v>
      </c>
      <c r="C1117">
        <v>-0.73</v>
      </c>
      <c r="D1117">
        <v>-0.92872736424672497</v>
      </c>
      <c r="E1117">
        <v>0.11827666507027687</v>
      </c>
      <c r="F1117">
        <v>65.281310566919473</v>
      </c>
    </row>
    <row r="1118" spans="1:6" x14ac:dyDescent="0.3">
      <c r="A1118">
        <v>0.01</v>
      </c>
      <c r="B1118" t="s">
        <v>93</v>
      </c>
      <c r="C1118">
        <v>-0.72</v>
      </c>
      <c r="D1118">
        <v>-0.90764498331912458</v>
      </c>
      <c r="E1118">
        <v>0.11810766962680425</v>
      </c>
      <c r="F1118">
        <v>66.639522695789736</v>
      </c>
    </row>
    <row r="1119" spans="1:6" x14ac:dyDescent="0.3">
      <c r="A1119">
        <v>0.01</v>
      </c>
      <c r="B1119" t="s">
        <v>93</v>
      </c>
      <c r="C1119">
        <v>-0.71</v>
      </c>
      <c r="D1119">
        <v>-0.88718386325809284</v>
      </c>
      <c r="E1119">
        <v>0.11793718613668923</v>
      </c>
      <c r="F1119">
        <v>68.015699825105671</v>
      </c>
    </row>
    <row r="1120" spans="1:6" x14ac:dyDescent="0.3">
      <c r="A1120">
        <v>0.01</v>
      </c>
      <c r="B1120" t="s">
        <v>93</v>
      </c>
      <c r="C1120">
        <v>-0.7</v>
      </c>
      <c r="D1120">
        <v>-0.86730052769405308</v>
      </c>
      <c r="E1120">
        <v>0.11776502876939143</v>
      </c>
      <c r="F1120">
        <v>69.411394491896189</v>
      </c>
    </row>
    <row r="1121" spans="1:6" x14ac:dyDescent="0.3">
      <c r="A1121">
        <v>0.01</v>
      </c>
      <c r="B1121" t="s">
        <v>93</v>
      </c>
      <c r="C1121">
        <v>-0.69</v>
      </c>
      <c r="D1121">
        <v>-0.84795575521896349</v>
      </c>
      <c r="E1121">
        <v>0.11759103184882287</v>
      </c>
      <c r="F1121">
        <v>70.828162114063858</v>
      </c>
    </row>
    <row r="1122" spans="1:6" x14ac:dyDescent="0.3">
      <c r="A1122">
        <v>0.01</v>
      </c>
      <c r="B1122" t="s">
        <v>93</v>
      </c>
      <c r="C1122">
        <v>-0.68</v>
      </c>
      <c r="D1122">
        <v>-0.82911403830176633</v>
      </c>
      <c r="E1122">
        <v>0.11741504744409814</v>
      </c>
      <c r="F1122">
        <v>72.267569865568021</v>
      </c>
    </row>
    <row r="1123" spans="1:6" x14ac:dyDescent="0.3">
      <c r="A1123">
        <v>0.01</v>
      </c>
      <c r="B1123" t="s">
        <v>93</v>
      </c>
      <c r="C1123">
        <v>-0.67</v>
      </c>
      <c r="D1123">
        <v>-0.81074312547513749</v>
      </c>
      <c r="E1123">
        <v>0.11723690911852153</v>
      </c>
      <c r="F1123">
        <v>73.731222784951882</v>
      </c>
    </row>
    <row r="1124" spans="1:6" x14ac:dyDescent="0.3">
      <c r="A1124">
        <v>0.01</v>
      </c>
      <c r="B1124" t="s">
        <v>93</v>
      </c>
      <c r="C1124">
        <v>-0.66</v>
      </c>
      <c r="D1124">
        <v>-0.79281363187019105</v>
      </c>
      <c r="E1124">
        <v>0.11705646167355478</v>
      </c>
      <c r="F1124">
        <v>75.220756985456845</v>
      </c>
    </row>
    <row r="1125" spans="1:6" x14ac:dyDescent="0.3">
      <c r="A1125">
        <v>0.01</v>
      </c>
      <c r="B1125" t="s">
        <v>93</v>
      </c>
      <c r="C1125">
        <v>-0.65</v>
      </c>
      <c r="D1125">
        <v>-0.7752987062055835</v>
      </c>
      <c r="E1125">
        <v>0.11687350863026916</v>
      </c>
      <c r="F1125">
        <v>76.737875349654672</v>
      </c>
    </row>
    <row r="1126" spans="1:6" x14ac:dyDescent="0.3">
      <c r="A1126">
        <v>0.01</v>
      </c>
      <c r="B1126" t="s">
        <v>93</v>
      </c>
      <c r="C1126">
        <v>-0.64</v>
      </c>
      <c r="D1126">
        <v>-0.7581737446840443</v>
      </c>
      <c r="E1126">
        <v>0.11668791821591597</v>
      </c>
      <c r="F1126">
        <v>78.284298777458673</v>
      </c>
    </row>
    <row r="1127" spans="1:6" x14ac:dyDescent="0.3">
      <c r="A1127">
        <v>0.01</v>
      </c>
      <c r="B1127" t="s">
        <v>93</v>
      </c>
      <c r="C1127">
        <v>-0.63</v>
      </c>
      <c r="D1127">
        <v>-0.74141614408126888</v>
      </c>
      <c r="E1127">
        <v>0.11649949102939004</v>
      </c>
      <c r="F1127">
        <v>79.861845292105187</v>
      </c>
    </row>
    <row r="1128" spans="1:6" x14ac:dyDescent="0.3">
      <c r="A1128">
        <v>0.01</v>
      </c>
      <c r="B1128" t="s">
        <v>93</v>
      </c>
      <c r="C1128">
        <v>-0.62</v>
      </c>
      <c r="D1128">
        <v>-0.72500508775299921</v>
      </c>
      <c r="E1128">
        <v>0.11630806375531234</v>
      </c>
      <c r="F1128">
        <v>81.472381821338274</v>
      </c>
    </row>
    <row r="1129" spans="1:6" x14ac:dyDescent="0.3">
      <c r="A1129">
        <v>0.01</v>
      </c>
      <c r="B1129" t="s">
        <v>93</v>
      </c>
      <c r="C1129">
        <v>-0.61</v>
      </c>
      <c r="D1129">
        <v>-0.7089213594274083</v>
      </c>
      <c r="E1129">
        <v>0.11611344123103023</v>
      </c>
      <c r="F1129">
        <v>83.117870523431463</v>
      </c>
    </row>
    <row r="1130" spans="1:6" x14ac:dyDescent="0.3">
      <c r="A1130">
        <v>0.01</v>
      </c>
      <c r="B1130" t="s">
        <v>93</v>
      </c>
      <c r="C1130">
        <v>-0.6</v>
      </c>
      <c r="D1130">
        <v>-0.69314718055994529</v>
      </c>
      <c r="E1130">
        <v>0.11591546477765811</v>
      </c>
      <c r="F1130">
        <v>84.800337732378082</v>
      </c>
    </row>
    <row r="1131" spans="1:6" x14ac:dyDescent="0.3">
      <c r="A1131">
        <v>0.01</v>
      </c>
      <c r="B1131" t="s">
        <v>93</v>
      </c>
      <c r="C1131">
        <v>-0.59</v>
      </c>
      <c r="D1131">
        <v>-0.67766606775796179</v>
      </c>
      <c r="E1131">
        <v>0.11571393178853961</v>
      </c>
      <c r="F1131">
        <v>86.521930556178731</v>
      </c>
    </row>
    <row r="1132" spans="1:6" x14ac:dyDescent="0.3">
      <c r="A1132">
        <v>0.01</v>
      </c>
      <c r="B1132" t="s">
        <v>93</v>
      </c>
      <c r="C1132">
        <v>-0.57999999999999996</v>
      </c>
      <c r="D1132">
        <v>-0.66246270737179924</v>
      </c>
      <c r="E1132">
        <v>0.11550863480258676</v>
      </c>
      <c r="F1132">
        <v>88.284904453619433</v>
      </c>
    </row>
    <row r="1133" spans="1:6" x14ac:dyDescent="0.3">
      <c r="A1133">
        <v>0.01</v>
      </c>
      <c r="B1133" t="s">
        <v>93</v>
      </c>
      <c r="C1133">
        <v>-0.56999999999999995</v>
      </c>
      <c r="D1133">
        <v>-0.64752284482737277</v>
      </c>
      <c r="E1133">
        <v>0.11529936950546037</v>
      </c>
      <c r="F1133">
        <v>90.091628480585484</v>
      </c>
    </row>
    <row r="1134" spans="1:6" x14ac:dyDescent="0.3">
      <c r="A1134">
        <v>0.01</v>
      </c>
      <c r="B1134" t="s">
        <v>93</v>
      </c>
      <c r="C1134">
        <v>-0.56000000000000005</v>
      </c>
      <c r="D1134">
        <v>-0.63283318666563804</v>
      </c>
      <c r="E1134">
        <v>0.11508592855669188</v>
      </c>
      <c r="F1134">
        <v>91.944600030085098</v>
      </c>
    </row>
    <row r="1135" spans="1:6" x14ac:dyDescent="0.3">
      <c r="A1135">
        <v>0.01</v>
      </c>
      <c r="B1135" t="s">
        <v>93</v>
      </c>
      <c r="C1135">
        <v>-0.55000000000000004</v>
      </c>
      <c r="D1135">
        <v>-0.61838131357446346</v>
      </c>
      <c r="E1135">
        <v>0.1148680828436435</v>
      </c>
      <c r="F1135">
        <v>93.846469587951304</v>
      </c>
    </row>
    <row r="1136" spans="1:6" x14ac:dyDescent="0.3">
      <c r="A1136">
        <v>0.01</v>
      </c>
      <c r="B1136" t="s">
        <v>93</v>
      </c>
      <c r="C1136">
        <v>-0.54</v>
      </c>
      <c r="D1136">
        <v>-0.60415560296226711</v>
      </c>
      <c r="E1136">
        <v>0.11464560414846614</v>
      </c>
      <c r="F1136">
        <v>95.800039224500395</v>
      </c>
    </row>
    <row r="1137" spans="1:6" x14ac:dyDescent="0.3">
      <c r="A1137">
        <v>0.01</v>
      </c>
      <c r="B1137" t="s">
        <v>93</v>
      </c>
      <c r="C1137">
        <v>-0.53</v>
      </c>
      <c r="D1137">
        <v>-0.59014515984118854</v>
      </c>
      <c r="E1137">
        <v>0.11441823437834962</v>
      </c>
      <c r="F1137">
        <v>97.808298455210746</v>
      </c>
    </row>
    <row r="1138" spans="1:6" x14ac:dyDescent="0.3">
      <c r="A1138">
        <v>0.01</v>
      </c>
      <c r="B1138" t="s">
        <v>93</v>
      </c>
      <c r="C1138">
        <v>-0.52</v>
      </c>
      <c r="D1138">
        <v>-0.57633975496919276</v>
      </c>
      <c r="E1138">
        <v>0.11418570892842582</v>
      </c>
      <c r="F1138">
        <v>99.87442468460371</v>
      </c>
    </row>
    <row r="1139" spans="1:6" x14ac:dyDescent="0.3">
      <c r="A1139">
        <v>0.01</v>
      </c>
      <c r="B1139" t="s">
        <v>93</v>
      </c>
      <c r="C1139">
        <v>-0.51</v>
      </c>
      <c r="D1139">
        <v>-0.56272976935214891</v>
      </c>
      <c r="E1139">
        <v>0.11394777834797047</v>
      </c>
      <c r="F1139">
        <v>102.00178404321346</v>
      </c>
    </row>
    <row r="1140" spans="1:6" x14ac:dyDescent="0.3">
      <c r="A1140">
        <v>0.01</v>
      </c>
      <c r="B1140" t="s">
        <v>93</v>
      </c>
      <c r="C1140">
        <v>-0.5</v>
      </c>
      <c r="D1140">
        <v>-0.54930614433405489</v>
      </c>
      <c r="E1140">
        <v>0.11370414228863161</v>
      </c>
      <c r="F1140">
        <v>104.19399933070413</v>
      </c>
    </row>
    <row r="1141" spans="1:6" x14ac:dyDescent="0.3">
      <c r="A1141">
        <v>0.01</v>
      </c>
      <c r="B1141" t="s">
        <v>93</v>
      </c>
      <c r="C1141">
        <v>-0.49</v>
      </c>
      <c r="D1141">
        <v>-0.53606033661056662</v>
      </c>
      <c r="E1141">
        <v>0.11345449925467636</v>
      </c>
      <c r="F1141">
        <v>106.45493546921372</v>
      </c>
    </row>
    <row r="1142" spans="1:6" x14ac:dyDescent="0.3">
      <c r="A1142">
        <v>0.01</v>
      </c>
      <c r="B1142" t="s">
        <v>93</v>
      </c>
      <c r="C1142">
        <v>-0.48</v>
      </c>
      <c r="D1142">
        <v>-0.5229842775913438</v>
      </c>
      <c r="E1142">
        <v>0.11319853280587373</v>
      </c>
      <c r="F1142">
        <v>108.78873321902741</v>
      </c>
    </row>
    <row r="1143" spans="1:6" x14ac:dyDescent="0.3">
      <c r="A1143">
        <v>0.01</v>
      </c>
      <c r="B1143" t="s">
        <v>93</v>
      </c>
      <c r="C1143">
        <v>-0.47</v>
      </c>
      <c r="D1143">
        <v>-0.51007033661330725</v>
      </c>
      <c r="E1143">
        <v>0.11293588804623336</v>
      </c>
      <c r="F1143">
        <v>111.19985512255811</v>
      </c>
    </row>
    <row r="1144" spans="1:6" x14ac:dyDescent="0.3">
      <c r="A1144">
        <v>0.01</v>
      </c>
      <c r="B1144" t="s">
        <v>93</v>
      </c>
      <c r="C1144">
        <v>-0.46</v>
      </c>
      <c r="D1144">
        <v>-0.49731128757203097</v>
      </c>
      <c r="E1144">
        <v>0.11266622039419384</v>
      </c>
      <c r="F1144">
        <v>113.69307546499425</v>
      </c>
    </row>
    <row r="1145" spans="1:6" x14ac:dyDescent="0.3">
      <c r="A1145">
        <v>0.01</v>
      </c>
      <c r="B1145" t="s">
        <v>93</v>
      </c>
      <c r="C1145">
        <v>-0.45</v>
      </c>
      <c r="D1145">
        <v>-0.48470027859405168</v>
      </c>
      <c r="E1145">
        <v>0.11238912715055201</v>
      </c>
      <c r="F1145">
        <v>116.2735702340774</v>
      </c>
    </row>
    <row r="1146" spans="1:6" x14ac:dyDescent="0.3">
      <c r="A1146">
        <v>0.01</v>
      </c>
      <c r="B1146" t="s">
        <v>93</v>
      </c>
      <c r="C1146">
        <v>-0.44</v>
      </c>
      <c r="D1146">
        <v>-0.47223080442042559</v>
      </c>
      <c r="E1146">
        <v>0.11210422052298966</v>
      </c>
      <c r="F1146">
        <v>118.94689240945537</v>
      </c>
    </row>
    <row r="1147" spans="1:6" x14ac:dyDescent="0.3">
      <c r="A1147">
        <v>0.01</v>
      </c>
      <c r="B1147" t="s">
        <v>93</v>
      </c>
      <c r="C1147">
        <v>-0.43</v>
      </c>
      <c r="D1147">
        <v>-0.45989668121267852</v>
      </c>
      <c r="E1147">
        <v>0.11181105205924628</v>
      </c>
      <c r="F1147">
        <v>121.71907921695053</v>
      </c>
    </row>
    <row r="1148" spans="1:6" x14ac:dyDescent="0.3">
      <c r="A1148">
        <v>0.01</v>
      </c>
      <c r="B1148" t="s">
        <v>93</v>
      </c>
      <c r="C1148">
        <v>-0.42</v>
      </c>
      <c r="D1148">
        <v>-0.4476920235274206</v>
      </c>
      <c r="E1148">
        <v>0.11150915351148269</v>
      </c>
      <c r="F1148">
        <v>124.59666443656457</v>
      </c>
    </row>
    <row r="1149" spans="1:6" x14ac:dyDescent="0.3">
      <c r="A1149">
        <v>0.01</v>
      </c>
      <c r="B1149" t="s">
        <v>93</v>
      </c>
      <c r="C1149">
        <v>-0.41</v>
      </c>
      <c r="D1149">
        <v>-0.43561122323622431</v>
      </c>
      <c r="E1149">
        <v>0.11119803268565401</v>
      </c>
      <c r="F1149">
        <v>127.58673462342743</v>
      </c>
    </row>
    <row r="1150" spans="1:6" x14ac:dyDescent="0.3">
      <c r="A1150">
        <v>0.01</v>
      </c>
      <c r="B1150" t="s">
        <v>93</v>
      </c>
      <c r="C1150">
        <v>-0.4</v>
      </c>
      <c r="D1150">
        <v>-0.42364893019360178</v>
      </c>
      <c r="E1150">
        <v>0.11087715026172991</v>
      </c>
      <c r="F1150">
        <v>130.69701182341768</v>
      </c>
    </row>
    <row r="1151" spans="1:6" x14ac:dyDescent="0.3">
      <c r="A1151">
        <v>0.01</v>
      </c>
      <c r="B1151" t="s">
        <v>93</v>
      </c>
      <c r="C1151">
        <v>-0.39</v>
      </c>
      <c r="D1151">
        <v>-0.41180003447869035</v>
      </c>
      <c r="E1151">
        <v>0.11054594157218876</v>
      </c>
      <c r="F1151">
        <v>133.93590135986545</v>
      </c>
    </row>
    <row r="1152" spans="1:6" x14ac:dyDescent="0.3">
      <c r="A1152">
        <v>0.01</v>
      </c>
      <c r="B1152" t="s">
        <v>93</v>
      </c>
      <c r="C1152">
        <v>-0.38</v>
      </c>
      <c r="D1152">
        <v>-0.40005965005605654</v>
      </c>
      <c r="E1152">
        <v>0.11020377752657431</v>
      </c>
      <c r="F1152">
        <v>137.31261007161902</v>
      </c>
    </row>
    <row r="1153" spans="1:6" x14ac:dyDescent="0.3">
      <c r="A1153">
        <v>0.01</v>
      </c>
      <c r="B1153" t="s">
        <v>93</v>
      </c>
      <c r="C1153">
        <v>-0.37</v>
      </c>
      <c r="D1153">
        <v>-0.38842309971829614</v>
      </c>
      <c r="E1153">
        <v>0.10984998596808278</v>
      </c>
      <c r="F1153">
        <v>140.83721593190944</v>
      </c>
    </row>
    <row r="1154" spans="1:6" x14ac:dyDescent="0.3">
      <c r="A1154">
        <v>0.01</v>
      </c>
      <c r="B1154" t="s">
        <v>93</v>
      </c>
      <c r="C1154">
        <v>-0.36</v>
      </c>
      <c r="D1154">
        <v>-0.37688590118819004</v>
      </c>
      <c r="E1154">
        <v>0.10948385854544986</v>
      </c>
      <c r="F1154">
        <v>144.52076280530366</v>
      </c>
    </row>
    <row r="1155" spans="1:6" x14ac:dyDescent="0.3">
      <c r="A1155">
        <v>0.01</v>
      </c>
      <c r="B1155" t="s">
        <v>93</v>
      </c>
      <c r="C1155">
        <v>-0.35</v>
      </c>
      <c r="D1155">
        <v>-0.36544375427139619</v>
      </c>
      <c r="E1155">
        <v>0.10910462101688143</v>
      </c>
      <c r="F1155">
        <v>148.3754113535816</v>
      </c>
    </row>
    <row r="1156" spans="1:6" x14ac:dyDescent="0.3">
      <c r="A1156">
        <v>0.01</v>
      </c>
      <c r="B1156" t="s">
        <v>93</v>
      </c>
      <c r="C1156">
        <v>-0.34</v>
      </c>
      <c r="D1156">
        <v>-0.35409252896224297</v>
      </c>
      <c r="E1156">
        <v>0.10871143750103963</v>
      </c>
      <c r="F1156">
        <v>152.41457265734155</v>
      </c>
    </row>
    <row r="1157" spans="1:6" x14ac:dyDescent="0.3">
      <c r="A1157">
        <v>0.01</v>
      </c>
      <c r="B1157" t="s">
        <v>93</v>
      </c>
      <c r="C1157">
        <v>-0.33</v>
      </c>
      <c r="D1157">
        <v>-0.34282825441539394</v>
      </c>
      <c r="E1157">
        <v>0.10830337582125096</v>
      </c>
      <c r="F1157">
        <v>156.65311062083077</v>
      </c>
    </row>
    <row r="1158" spans="1:6" x14ac:dyDescent="0.3">
      <c r="A1158">
        <v>0.01</v>
      </c>
      <c r="B1158" t="s">
        <v>93</v>
      </c>
      <c r="C1158">
        <v>-0.32</v>
      </c>
      <c r="D1158">
        <v>-0.3316471087051322</v>
      </c>
      <c r="E1158">
        <v>0.10787944793119224</v>
      </c>
      <c r="F1158">
        <v>161.10748071250435</v>
      </c>
    </row>
    <row r="1159" spans="1:6" x14ac:dyDescent="0.3">
      <c r="A1159">
        <v>0.01</v>
      </c>
      <c r="B1159" t="s">
        <v>93</v>
      </c>
      <c r="C1159">
        <v>-0.31</v>
      </c>
      <c r="D1159">
        <v>-0.32054540930194608</v>
      </c>
      <c r="E1159">
        <v>0.10743856091152341</v>
      </c>
      <c r="F1159">
        <v>165.79600844247204</v>
      </c>
    </row>
    <row r="1160" spans="1:6" x14ac:dyDescent="0.3">
      <c r="A1160">
        <v>0.01</v>
      </c>
      <c r="B1160" t="s">
        <v>93</v>
      </c>
      <c r="C1160">
        <v>-0.3</v>
      </c>
      <c r="D1160">
        <v>-0.30951960420311175</v>
      </c>
      <c r="E1160">
        <v>0.10697954731044301</v>
      </c>
      <c r="F1160">
        <v>170.73910673737865</v>
      </c>
    </row>
    <row r="1161" spans="1:6" x14ac:dyDescent="0.3">
      <c r="A1161">
        <v>0.01</v>
      </c>
      <c r="B1161" t="s">
        <v>93</v>
      </c>
      <c r="C1161">
        <v>-0.28999999999999998</v>
      </c>
      <c r="D1161">
        <v>-0.29856626366017835</v>
      </c>
      <c r="E1161">
        <v>0.10650111127465457</v>
      </c>
      <c r="F1161">
        <v>175.95964971204091</v>
      </c>
    </row>
    <row r="1162" spans="1:6" x14ac:dyDescent="0.3">
      <c r="A1162">
        <v>0.01</v>
      </c>
      <c r="B1162" t="s">
        <v>93</v>
      </c>
      <c r="C1162">
        <v>-0.28000000000000003</v>
      </c>
      <c r="D1162">
        <v>-0.2876820724517809</v>
      </c>
      <c r="E1162">
        <v>0.10600180275856869</v>
      </c>
      <c r="F1162">
        <v>181.48337412749791</v>
      </c>
    </row>
    <row r="1163" spans="1:6" x14ac:dyDescent="0.3">
      <c r="A1163">
        <v>0.01</v>
      </c>
      <c r="B1163" t="s">
        <v>93</v>
      </c>
      <c r="C1163">
        <v>-0.27</v>
      </c>
      <c r="D1163">
        <v>-0.27686382265510007</v>
      </c>
      <c r="E1163">
        <v>0.10548006687079281</v>
      </c>
      <c r="F1163">
        <v>187.33923884671529</v>
      </c>
    </row>
    <row r="1164" spans="1:6" x14ac:dyDescent="0.3">
      <c r="A1164">
        <v>0.01</v>
      </c>
      <c r="B1164" t="s">
        <v>93</v>
      </c>
      <c r="C1164">
        <v>-0.26</v>
      </c>
      <c r="D1164">
        <v>-0.26610840687365411</v>
      </c>
      <c r="E1164">
        <v>0.10493416521632247</v>
      </c>
      <c r="F1164">
        <v>193.56005529573446</v>
      </c>
    </row>
    <row r="1165" spans="1:6" x14ac:dyDescent="0.3">
      <c r="A1165">
        <v>0.01</v>
      </c>
      <c r="B1165" t="s">
        <v>93</v>
      </c>
      <c r="C1165">
        <v>-0.25</v>
      </c>
      <c r="D1165">
        <v>-0.25541281188299536</v>
      </c>
      <c r="E1165">
        <v>0.10436217740319896</v>
      </c>
      <c r="F1165">
        <v>200.18311207317322</v>
      </c>
    </row>
    <row r="1166" spans="1:6" x14ac:dyDescent="0.3">
      <c r="A1166">
        <v>0.01</v>
      </c>
      <c r="B1166" t="s">
        <v>93</v>
      </c>
      <c r="C1166">
        <v>-0.24</v>
      </c>
      <c r="D1166">
        <v>-0.24477411265935289</v>
      </c>
      <c r="E1166">
        <v>0.10376198040478501</v>
      </c>
      <c r="F1166">
        <v>207.25096457310283</v>
      </c>
    </row>
    <row r="1167" spans="1:6" x14ac:dyDescent="0.3">
      <c r="A1167">
        <v>0.01</v>
      </c>
      <c r="B1167" t="s">
        <v>93</v>
      </c>
      <c r="C1167">
        <v>-0.23</v>
      </c>
      <c r="D1167">
        <v>-0.23418946675936678</v>
      </c>
      <c r="E1167">
        <v>0.1031311949352143</v>
      </c>
      <c r="F1167">
        <v>214.81245302739731</v>
      </c>
    </row>
    <row r="1168" spans="1:6" x14ac:dyDescent="0.3">
      <c r="A1168">
        <v>0.01</v>
      </c>
      <c r="B1168" t="s">
        <v>93</v>
      </c>
      <c r="C1168">
        <v>-0.22</v>
      </c>
      <c r="D1168">
        <v>-0.22365610902183239</v>
      </c>
      <c r="E1168">
        <v>0.10246716497582938</v>
      </c>
      <c r="F1168">
        <v>222.92388422463483</v>
      </c>
    </row>
    <row r="1169" spans="1:6" x14ac:dyDescent="0.3">
      <c r="A1169">
        <v>0.01</v>
      </c>
      <c r="B1169" t="s">
        <v>93</v>
      </c>
      <c r="C1169">
        <v>-0.21</v>
      </c>
      <c r="D1169">
        <v>-0.21317134656485975</v>
      </c>
      <c r="E1169">
        <v>0.10176688054757907</v>
      </c>
      <c r="F1169">
        <v>231.65059919306188</v>
      </c>
    </row>
    <row r="1170" spans="1:6" x14ac:dyDescent="0.3">
      <c r="A1170">
        <v>0.01</v>
      </c>
      <c r="B1170" t="s">
        <v>93</v>
      </c>
      <c r="C1170">
        <v>-0.2</v>
      </c>
      <c r="D1170">
        <v>-0.20273255405408214</v>
      </c>
      <c r="E1170">
        <v>0.10102699737392061</v>
      </c>
      <c r="F1170">
        <v>241.06871542193241</v>
      </c>
    </row>
    <row r="1171" spans="1:6" x14ac:dyDescent="0.3">
      <c r="A1171">
        <v>0.01</v>
      </c>
      <c r="B1171" t="s">
        <v>93</v>
      </c>
      <c r="C1171">
        <v>-0.19</v>
      </c>
      <c r="D1171">
        <v>-0.1923371692195453</v>
      </c>
      <c r="E1171">
        <v>0.1002436908755259</v>
      </c>
      <c r="F1171">
        <v>251.26767020693885</v>
      </c>
    </row>
    <row r="1172" spans="1:6" x14ac:dyDescent="0.3">
      <c r="A1172">
        <v>0.01</v>
      </c>
      <c r="B1172" t="s">
        <v>93</v>
      </c>
      <c r="C1172">
        <v>-0.18</v>
      </c>
      <c r="D1172">
        <v>-0.18198268860070579</v>
      </c>
      <c r="E1172">
        <v>9.9412632215896052E-2</v>
      </c>
      <c r="F1172">
        <v>262.35315640261854</v>
      </c>
    </row>
    <row r="1173" spans="1:6" x14ac:dyDescent="0.3">
      <c r="A1173">
        <v>0.01</v>
      </c>
      <c r="B1173" t="s">
        <v>93</v>
      </c>
      <c r="C1173">
        <v>-0.17</v>
      </c>
      <c r="D1173">
        <v>-0.17166666350057908</v>
      </c>
      <c r="E1173">
        <v>9.8528832756292511E-2</v>
      </c>
      <c r="F1173">
        <v>274.45119383611677</v>
      </c>
    </row>
    <row r="1174" spans="1:6" x14ac:dyDescent="0.3">
      <c r="A1174">
        <v>0.01</v>
      </c>
      <c r="B1174" t="s">
        <v>93</v>
      </c>
      <c r="C1174">
        <v>-0.16</v>
      </c>
      <c r="D1174">
        <v>-0.16138669613152551</v>
      </c>
      <c r="E1174">
        <v>9.7586578358381304E-2</v>
      </c>
      <c r="F1174">
        <v>287.71315808644533</v>
      </c>
    </row>
    <row r="1175" spans="1:6" x14ac:dyDescent="0.3">
      <c r="A1175">
        <v>0.01</v>
      </c>
      <c r="B1175" t="s">
        <v>93</v>
      </c>
      <c r="C1175">
        <v>-0.15</v>
      </c>
      <c r="D1175">
        <v>-0.15114043593646675</v>
      </c>
      <c r="E1175">
        <v>9.6579230169676594E-2</v>
      </c>
      <c r="F1175">
        <v>302.32272822451029</v>
      </c>
    </row>
    <row r="1176" spans="1:6" x14ac:dyDescent="0.3">
      <c r="A1176">
        <v>0.01</v>
      </c>
      <c r="B1176" t="s">
        <v>93</v>
      </c>
      <c r="C1176">
        <v>-0.14000000000000001</v>
      </c>
      <c r="D1176">
        <v>-0.14092557607049394</v>
      </c>
      <c r="E1176">
        <v>9.5499058477090434E-2</v>
      </c>
      <c r="F1176">
        <v>318.505011454667</v>
      </c>
    </row>
    <row r="1177" spans="1:6" x14ac:dyDescent="0.3">
      <c r="A1177">
        <v>0.01</v>
      </c>
      <c r="B1177" t="s">
        <v>93</v>
      </c>
      <c r="C1177">
        <v>-0.13</v>
      </c>
      <c r="D1177">
        <v>-0.13073985002887836</v>
      </c>
      <c r="E1177">
        <v>9.4336945791979918E-2</v>
      </c>
      <c r="F1177">
        <v>336.53925793895434</v>
      </c>
    </row>
    <row r="1178" spans="1:6" x14ac:dyDescent="0.3">
      <c r="A1178">
        <v>0.01</v>
      </c>
      <c r="B1178" t="s">
        <v>93</v>
      </c>
      <c r="C1178">
        <v>-0.12</v>
      </c>
      <c r="D1178">
        <v>-0.12058102840844405</v>
      </c>
      <c r="E1178">
        <v>9.3082089688015429E-2</v>
      </c>
      <c r="F1178">
        <v>356.77630377028794</v>
      </c>
    </row>
    <row r="1179" spans="1:6" x14ac:dyDescent="0.3">
      <c r="A1179">
        <v>0.01</v>
      </c>
      <c r="B1179" t="s">
        <v>93</v>
      </c>
      <c r="C1179">
        <v>-0.11</v>
      </c>
      <c r="D1179">
        <v>-0.1104469157900972</v>
      </c>
      <c r="E1179">
        <v>9.172149344260469E-2</v>
      </c>
      <c r="F1179">
        <v>379.66376321761931</v>
      </c>
    </row>
    <row r="1180" spans="1:6" x14ac:dyDescent="0.3">
      <c r="A1180">
        <v>0.01</v>
      </c>
      <c r="B1180" t="s">
        <v>93</v>
      </c>
      <c r="C1180">
        <v>-0.1</v>
      </c>
      <c r="D1180">
        <v>-0.10033534773107562</v>
      </c>
      <c r="E1180">
        <v>9.0239428977063385E-2</v>
      </c>
      <c r="F1180">
        <v>405.78218193936863</v>
      </c>
    </row>
    <row r="1181" spans="1:6" x14ac:dyDescent="0.3">
      <c r="A1181">
        <v>0.01</v>
      </c>
      <c r="B1181" t="s">
        <v>93</v>
      </c>
      <c r="C1181">
        <v>-0.09</v>
      </c>
      <c r="D1181">
        <v>-9.0244187856146837E-2</v>
      </c>
      <c r="E1181">
        <v>8.8616461435028868E-2</v>
      </c>
      <c r="F1181">
        <v>435.90006672390223</v>
      </c>
    </row>
    <row r="1182" spans="1:6" x14ac:dyDescent="0.3">
      <c r="A1182">
        <v>0.01</v>
      </c>
      <c r="B1182" t="s">
        <v>93</v>
      </c>
      <c r="C1182">
        <v>-0.08</v>
      </c>
      <c r="D1182">
        <v>-8.0171325037589683E-2</v>
      </c>
      <c r="E1182">
        <v>8.682833986505549E-2</v>
      </c>
      <c r="F1182">
        <v>471.05778409691516</v>
      </c>
    </row>
    <row r="1183" spans="1:6" x14ac:dyDescent="0.3">
      <c r="A1183">
        <v>0.01</v>
      </c>
      <c r="B1183" t="s">
        <v>93</v>
      </c>
      <c r="C1183">
        <v>-7.0000000000000007E-2</v>
      </c>
      <c r="D1183">
        <v>-7.0114670654325195E-2</v>
      </c>
      <c r="E1183">
        <v>8.4844056482018038E-2</v>
      </c>
      <c r="F1183">
        <v>512.70357922194512</v>
      </c>
    </row>
    <row r="1184" spans="1:6" x14ac:dyDescent="0.3">
      <c r="A1184">
        <v>0.01</v>
      </c>
      <c r="B1184" t="s">
        <v>93</v>
      </c>
      <c r="C1184">
        <v>-0.06</v>
      </c>
      <c r="D1184">
        <v>-6.007215592103167E-2</v>
      </c>
      <c r="E1184">
        <v>8.2623140908505144E-2</v>
      </c>
      <c r="F1184">
        <v>562.92059195058152</v>
      </c>
    </row>
    <row r="1185" spans="1:6" x14ac:dyDescent="0.3">
      <c r="A1185">
        <v>0.01</v>
      </c>
      <c r="B1185" t="s">
        <v>93</v>
      </c>
      <c r="C1185">
        <v>-0.05</v>
      </c>
      <c r="D1185">
        <v>-5.0041729278491327E-2</v>
      </c>
      <c r="E1185">
        <v>8.0111018464847195E-2</v>
      </c>
      <c r="F1185">
        <v>624.8311247315761</v>
      </c>
    </row>
    <row r="1186" spans="1:6" x14ac:dyDescent="0.3">
      <c r="A1186">
        <v>0.01</v>
      </c>
      <c r="B1186" t="s">
        <v>93</v>
      </c>
      <c r="C1186">
        <v>-0.04</v>
      </c>
      <c r="D1186">
        <v>-4.0021353836768248E-2</v>
      </c>
      <c r="E1186">
        <v>7.7231406444612877E-2</v>
      </c>
      <c r="F1186">
        <v>703.36244325006123</v>
      </c>
    </row>
    <row r="1187" spans="1:6" x14ac:dyDescent="0.3">
      <c r="A1187">
        <v>0.01</v>
      </c>
      <c r="B1187" t="s">
        <v>93</v>
      </c>
      <c r="C1187">
        <v>-0.03</v>
      </c>
      <c r="D1187">
        <v>-3.000900486312652E-2</v>
      </c>
      <c r="E1187">
        <v>7.3871829834898955E-2</v>
      </c>
      <c r="F1187">
        <v>806.84004878689302</v>
      </c>
    </row>
    <row r="1188" spans="1:6" x14ac:dyDescent="0.3">
      <c r="A1188">
        <v>0.01</v>
      </c>
      <c r="B1188" t="s">
        <v>93</v>
      </c>
      <c r="C1188">
        <v>-0.02</v>
      </c>
      <c r="D1188">
        <v>-2.0002667306849624E-2</v>
      </c>
      <c r="E1188">
        <v>6.9854294909442533E-2</v>
      </c>
      <c r="F1188">
        <v>950.71509653296141</v>
      </c>
    </row>
    <row r="1189" spans="1:6" x14ac:dyDescent="0.3">
      <c r="A1189">
        <v>0.01</v>
      </c>
      <c r="B1189" t="s">
        <v>93</v>
      </c>
      <c r="C1189">
        <v>-0.01</v>
      </c>
      <c r="D1189">
        <v>-1.0000333353334771E-2</v>
      </c>
      <c r="E1189">
        <v>6.4864375954793593E-2</v>
      </c>
      <c r="F1189">
        <v>1167.9633991274727</v>
      </c>
    </row>
    <row r="1190" spans="1:6" x14ac:dyDescent="0.3">
      <c r="A1190">
        <v>0.1</v>
      </c>
      <c r="B1190" t="s">
        <v>94</v>
      </c>
      <c r="C1190">
        <v>-0.99</v>
      </c>
      <c r="D1190">
        <v>-2.6466524123622457</v>
      </c>
      <c r="E1190">
        <v>6.7879075382829529E-2</v>
      </c>
      <c r="F1190">
        <v>178.1953663668387</v>
      </c>
    </row>
    <row r="1191" spans="1:6" x14ac:dyDescent="0.3">
      <c r="A1191">
        <v>0.1</v>
      </c>
      <c r="B1191" t="s">
        <v>94</v>
      </c>
      <c r="C1191">
        <v>-0.98</v>
      </c>
      <c r="D1191">
        <v>-2.2975599250672945</v>
      </c>
      <c r="E1191">
        <v>6.6411654343736762E-2</v>
      </c>
      <c r="F1191">
        <v>204.43132012465276</v>
      </c>
    </row>
    <row r="1192" spans="1:6" x14ac:dyDescent="0.3">
      <c r="A1192">
        <v>0.1</v>
      </c>
      <c r="B1192" t="s">
        <v>94</v>
      </c>
      <c r="C1192">
        <v>-0.97</v>
      </c>
      <c r="D1192">
        <v>-2.0922957200349388</v>
      </c>
      <c r="E1192">
        <v>6.5382934998554576E-2</v>
      </c>
      <c r="F1192">
        <v>223.88634340257735</v>
      </c>
    </row>
    <row r="1193" spans="1:6" x14ac:dyDescent="0.3">
      <c r="A1193">
        <v>0.1</v>
      </c>
      <c r="B1193" t="s">
        <v>94</v>
      </c>
      <c r="C1193">
        <v>-0.96</v>
      </c>
      <c r="D1193">
        <v>-1.9459101490553128</v>
      </c>
      <c r="E1193">
        <v>6.4554705559575501E-2</v>
      </c>
      <c r="F1193">
        <v>240.23019966362904</v>
      </c>
    </row>
    <row r="1194" spans="1:6" x14ac:dyDescent="0.3">
      <c r="A1194">
        <v>0.1</v>
      </c>
      <c r="B1194" t="s">
        <v>94</v>
      </c>
      <c r="C1194">
        <v>-0.95</v>
      </c>
      <c r="D1194">
        <v>-1.8317808230648227</v>
      </c>
      <c r="E1194">
        <v>6.384442108391232E-2</v>
      </c>
      <c r="F1194">
        <v>254.75630972106165</v>
      </c>
    </row>
    <row r="1195" spans="1:6" x14ac:dyDescent="0.3">
      <c r="A1195">
        <v>0.1</v>
      </c>
      <c r="B1195" t="s">
        <v>94</v>
      </c>
      <c r="C1195">
        <v>-0.94</v>
      </c>
      <c r="D1195">
        <v>-1.7380493449176362</v>
      </c>
      <c r="E1195">
        <v>6.3212676866251941E-2</v>
      </c>
      <c r="F1195">
        <v>268.08963655701677</v>
      </c>
    </row>
    <row r="1196" spans="1:6" x14ac:dyDescent="0.3">
      <c r="A1196">
        <v>0.1</v>
      </c>
      <c r="B1196" t="s">
        <v>94</v>
      </c>
      <c r="C1196">
        <v>-0.93</v>
      </c>
      <c r="D1196">
        <v>-1.6583900199247865</v>
      </c>
      <c r="E1196">
        <v>6.2637301671021953E-2</v>
      </c>
      <c r="F1196">
        <v>280.58591818060677</v>
      </c>
    </row>
    <row r="1197" spans="1:6" x14ac:dyDescent="0.3">
      <c r="A1197">
        <v>0.1</v>
      </c>
      <c r="B1197" t="s">
        <v>94</v>
      </c>
      <c r="C1197">
        <v>-0.92</v>
      </c>
      <c r="D1197">
        <v>-1.5890269151739731</v>
      </c>
      <c r="E1197">
        <v>6.2104459474510501E-2</v>
      </c>
      <c r="F1197">
        <v>292.46968581818572</v>
      </c>
    </row>
    <row r="1198" spans="1:6" x14ac:dyDescent="0.3">
      <c r="A1198">
        <v>0.1</v>
      </c>
      <c r="B1198" t="s">
        <v>94</v>
      </c>
      <c r="C1198">
        <v>-0.91</v>
      </c>
      <c r="D1198">
        <v>-1.5275244253552054</v>
      </c>
      <c r="E1198">
        <v>6.1604860687067338E-2</v>
      </c>
      <c r="F1198">
        <v>303.89327480417012</v>
      </c>
    </row>
    <row r="1199" spans="1:6" x14ac:dyDescent="0.3">
      <c r="A1199">
        <v>0.1</v>
      </c>
      <c r="B1199" t="s">
        <v>94</v>
      </c>
      <c r="C1199">
        <v>-0.9</v>
      </c>
      <c r="D1199">
        <v>-1.4722194895832204</v>
      </c>
      <c r="E1199">
        <v>6.1131946294038557E-2</v>
      </c>
      <c r="F1199">
        <v>314.96576629592113</v>
      </c>
    </row>
    <row r="1200" spans="1:6" x14ac:dyDescent="0.3">
      <c r="A1200">
        <v>0.1</v>
      </c>
      <c r="B1200" t="s">
        <v>94</v>
      </c>
      <c r="C1200">
        <v>-0.89</v>
      </c>
      <c r="D1200">
        <v>-1.421925871130636</v>
      </c>
      <c r="E1200">
        <v>6.068089315377978E-2</v>
      </c>
      <c r="F1200">
        <v>325.76865391151432</v>
      </c>
    </row>
    <row r="1201" spans="1:6" x14ac:dyDescent="0.3">
      <c r="A1201">
        <v>0.1</v>
      </c>
      <c r="B1201" t="s">
        <v>94</v>
      </c>
      <c r="C1201">
        <v>-0.88</v>
      </c>
      <c r="D1201">
        <v>-1.3757676565209744</v>
      </c>
      <c r="E1201">
        <v>6.0248015999547752E-2</v>
      </c>
      <c r="F1201">
        <v>336.36497932190144</v>
      </c>
    </row>
    <row r="1202" spans="1:6" x14ac:dyDescent="0.3">
      <c r="A1202">
        <v>0.1</v>
      </c>
      <c r="B1202" t="s">
        <v>94</v>
      </c>
      <c r="C1202">
        <v>-0.87</v>
      </c>
      <c r="D1202">
        <v>-1.333079629696525</v>
      </c>
      <c r="E1202">
        <v>5.9830476762192386E-2</v>
      </c>
      <c r="F1202">
        <v>346.80492963686731</v>
      </c>
    </row>
    <row r="1203" spans="1:6" x14ac:dyDescent="0.3">
      <c r="A1203">
        <v>0.1</v>
      </c>
      <c r="B1203" t="s">
        <v>94</v>
      </c>
      <c r="C1203">
        <v>-0.86</v>
      </c>
      <c r="D1203">
        <v>-1.2933446720489712</v>
      </c>
      <c r="E1203">
        <v>5.9425946989325816E-2</v>
      </c>
      <c r="F1203">
        <v>357.12953287565421</v>
      </c>
    </row>
    <row r="1204" spans="1:6" x14ac:dyDescent="0.3">
      <c r="A1204">
        <v>0.1</v>
      </c>
      <c r="B1204" t="s">
        <v>94</v>
      </c>
      <c r="C1204">
        <v>-0.85</v>
      </c>
      <c r="D1204">
        <v>-1.2561528119880574</v>
      </c>
      <c r="E1204">
        <v>5.9032619522659306E-2</v>
      </c>
      <c r="F1204">
        <v>367.37301299311378</v>
      </c>
    </row>
    <row r="1205" spans="1:6" x14ac:dyDescent="0.3">
      <c r="A1205">
        <v>0.1</v>
      </c>
      <c r="B1205" t="s">
        <v>94</v>
      </c>
      <c r="C1205">
        <v>-0.84</v>
      </c>
      <c r="D1205">
        <v>-1.2211735176846021</v>
      </c>
      <c r="E1205">
        <v>5.8648926964266331E-2</v>
      </c>
      <c r="F1205">
        <v>377.56458250330786</v>
      </c>
    </row>
    <row r="1206" spans="1:6" x14ac:dyDescent="0.3">
      <c r="A1206">
        <v>0.1</v>
      </c>
      <c r="B1206" t="s">
        <v>94</v>
      </c>
      <c r="C1206">
        <v>-0.83</v>
      </c>
      <c r="D1206">
        <v>-1.1881364043926024</v>
      </c>
      <c r="E1206">
        <v>5.8273590282053263E-2</v>
      </c>
      <c r="F1206">
        <v>387.72958370051231</v>
      </c>
    </row>
    <row r="1207" spans="1:6" x14ac:dyDescent="0.3">
      <c r="A1207">
        <v>0.1</v>
      </c>
      <c r="B1207" t="s">
        <v>94</v>
      </c>
      <c r="C1207">
        <v>-0.82</v>
      </c>
      <c r="D1207">
        <v>-1.1568174645903151</v>
      </c>
      <c r="E1207">
        <v>5.7905527034330453E-2</v>
      </c>
      <c r="F1207">
        <v>397.8903937249454</v>
      </c>
    </row>
    <row r="1208" spans="1:6" x14ac:dyDescent="0.3">
      <c r="A1208">
        <v>0.1</v>
      </c>
      <c r="B1208" t="s">
        <v>94</v>
      </c>
      <c r="C1208">
        <v>-0.81</v>
      </c>
      <c r="D1208">
        <v>-1.1270290260496929</v>
      </c>
      <c r="E1208">
        <v>5.7543786608055612E-2</v>
      </c>
      <c r="F1208">
        <v>408.0671029739899</v>
      </c>
    </row>
    <row r="1209" spans="1:6" x14ac:dyDescent="0.3">
      <c r="A1209">
        <v>0.1</v>
      </c>
      <c r="B1209" t="s">
        <v>94</v>
      </c>
      <c r="C1209">
        <v>-0.8</v>
      </c>
      <c r="D1209">
        <v>-1.0986122886681098</v>
      </c>
      <c r="E1209">
        <v>5.7187554448039322E-2</v>
      </c>
      <c r="F1209">
        <v>418.27799817041296</v>
      </c>
    </row>
    <row r="1210" spans="1:6" x14ac:dyDescent="0.3">
      <c r="A1210">
        <v>0.1</v>
      </c>
      <c r="B1210" t="s">
        <v>94</v>
      </c>
      <c r="C1210">
        <v>-0.79</v>
      </c>
      <c r="D1210">
        <v>-1.0714316840586662</v>
      </c>
      <c r="E1210">
        <v>5.6836129343574557E-2</v>
      </c>
      <c r="F1210">
        <v>428.53995299236789</v>
      </c>
    </row>
    <row r="1211" spans="1:6" x14ac:dyDescent="0.3">
      <c r="A1211">
        <v>0.1</v>
      </c>
      <c r="B1211" t="s">
        <v>94</v>
      </c>
      <c r="C1211">
        <v>-0.78</v>
      </c>
      <c r="D1211">
        <v>-1.0453705484668847</v>
      </c>
      <c r="E1211">
        <v>5.6488880752496307E-2</v>
      </c>
      <c r="F1211">
        <v>438.8687559970902</v>
      </c>
    </row>
    <row r="1212" spans="1:6" x14ac:dyDescent="0.3">
      <c r="A1212">
        <v>0.1</v>
      </c>
      <c r="B1212" t="s">
        <v>94</v>
      </c>
      <c r="C1212">
        <v>-0.77</v>
      </c>
      <c r="D1212">
        <v>-1.0203277583223398</v>
      </c>
      <c r="E1212">
        <v>5.6145232452801459E-2</v>
      </c>
      <c r="F1212">
        <v>449.27936410281899</v>
      </c>
    </row>
    <row r="1213" spans="1:6" x14ac:dyDescent="0.3">
      <c r="A1213">
        <v>0.1</v>
      </c>
      <c r="B1213" t="s">
        <v>94</v>
      </c>
      <c r="C1213">
        <v>-0.76</v>
      </c>
      <c r="D1213">
        <v>-0.99621508234510314</v>
      </c>
      <c r="E1213">
        <v>5.580471363042127E-2</v>
      </c>
      <c r="F1213">
        <v>459.78605800968262</v>
      </c>
    </row>
    <row r="1214" spans="1:6" x14ac:dyDescent="0.3">
      <c r="A1214">
        <v>0.1</v>
      </c>
      <c r="B1214" t="s">
        <v>94</v>
      </c>
      <c r="C1214">
        <v>-0.75</v>
      </c>
      <c r="D1214">
        <v>-0.97295507452765673</v>
      </c>
      <c r="E1214">
        <v>5.5466825283788997E-2</v>
      </c>
      <c r="F1214">
        <v>470.40271248478246</v>
      </c>
    </row>
    <row r="1215" spans="1:6" x14ac:dyDescent="0.3">
      <c r="A1215">
        <v>0.1</v>
      </c>
      <c r="B1215" t="s">
        <v>94</v>
      </c>
      <c r="C1215">
        <v>-0.74</v>
      </c>
      <c r="D1215">
        <v>-0.95047938059652348</v>
      </c>
      <c r="E1215">
        <v>5.5131194836767268E-2</v>
      </c>
      <c r="F1215">
        <v>481.14280899703243</v>
      </c>
    </row>
    <row r="1216" spans="1:6" x14ac:dyDescent="0.3">
      <c r="A1216">
        <v>0.1</v>
      </c>
      <c r="B1216" t="s">
        <v>94</v>
      </c>
      <c r="C1216">
        <v>-0.73</v>
      </c>
      <c r="D1216">
        <v>-0.92872736424672497</v>
      </c>
      <c r="E1216">
        <v>5.4797421955698353E-2</v>
      </c>
      <c r="F1216">
        <v>492.019683559665</v>
      </c>
    </row>
    <row r="1217" spans="1:6" x14ac:dyDescent="0.3">
      <c r="A1217">
        <v>0.1</v>
      </c>
      <c r="B1217" t="s">
        <v>94</v>
      </c>
      <c r="C1217">
        <v>-0.72</v>
      </c>
      <c r="D1217">
        <v>-0.90764498331912458</v>
      </c>
      <c r="E1217">
        <v>5.4465157251737624E-2</v>
      </c>
      <c r="F1217">
        <v>503.04656690799493</v>
      </c>
    </row>
    <row r="1218" spans="1:6" x14ac:dyDescent="0.3">
      <c r="A1218">
        <v>0.1</v>
      </c>
      <c r="B1218" t="s">
        <v>94</v>
      </c>
      <c r="C1218">
        <v>-0.71</v>
      </c>
      <c r="D1218">
        <v>-0.88718386325809284</v>
      </c>
      <c r="E1218">
        <v>5.4134077096686307E-2</v>
      </c>
      <c r="F1218">
        <v>514.236700346254</v>
      </c>
    </row>
    <row r="1219" spans="1:6" x14ac:dyDescent="0.3">
      <c r="A1219">
        <v>0.1</v>
      </c>
      <c r="B1219" t="s">
        <v>94</v>
      </c>
      <c r="C1219">
        <v>-0.7</v>
      </c>
      <c r="D1219">
        <v>-0.86730052769405308</v>
      </c>
      <c r="E1219">
        <v>5.3803877631957611E-2</v>
      </c>
      <c r="F1219">
        <v>525.60342823222425</v>
      </c>
    </row>
    <row r="1220" spans="1:6" x14ac:dyDescent="0.3">
      <c r="A1220">
        <v>0.1</v>
      </c>
      <c r="B1220" t="s">
        <v>94</v>
      </c>
      <c r="C1220">
        <v>-0.69</v>
      </c>
      <c r="D1220">
        <v>-0.84795575521896349</v>
      </c>
      <c r="E1220">
        <v>5.3474276705436634E-2</v>
      </c>
      <c r="F1220">
        <v>537.1602770178024</v>
      </c>
    </row>
    <row r="1221" spans="1:6" x14ac:dyDescent="0.3">
      <c r="A1221">
        <v>0.1</v>
      </c>
      <c r="B1221" t="s">
        <v>94</v>
      </c>
      <c r="C1221">
        <v>-0.68</v>
      </c>
      <c r="D1221">
        <v>-0.82911403830176633</v>
      </c>
      <c r="E1221">
        <v>5.3144996893567012E-2</v>
      </c>
      <c r="F1221">
        <v>548.92104997911156</v>
      </c>
    </row>
    <row r="1222" spans="1:6" x14ac:dyDescent="0.3">
      <c r="A1222">
        <v>0.1</v>
      </c>
      <c r="B1222" t="s">
        <v>94</v>
      </c>
      <c r="C1222">
        <v>-0.67</v>
      </c>
      <c r="D1222">
        <v>-0.81074312547513749</v>
      </c>
      <c r="E1222">
        <v>5.2815794706953294E-2</v>
      </c>
      <c r="F1222">
        <v>560.89987097428252</v>
      </c>
    </row>
    <row r="1223" spans="1:6" x14ac:dyDescent="0.3">
      <c r="A1223">
        <v>0.1</v>
      </c>
      <c r="B1223" t="s">
        <v>94</v>
      </c>
      <c r="C1223">
        <v>-0.66</v>
      </c>
      <c r="D1223">
        <v>-0.79281363187019105</v>
      </c>
      <c r="E1223">
        <v>5.2486415631129227E-2</v>
      </c>
      <c r="F1223">
        <v>573.11130633677863</v>
      </c>
    </row>
    <row r="1224" spans="1:6" x14ac:dyDescent="0.3">
      <c r="A1224">
        <v>0.1</v>
      </c>
      <c r="B1224" t="s">
        <v>94</v>
      </c>
      <c r="C1224">
        <v>-0.65</v>
      </c>
      <c r="D1224">
        <v>-0.7752987062055835</v>
      </c>
      <c r="E1224">
        <v>5.2156630465158033E-2</v>
      </c>
      <c r="F1224">
        <v>585.57039921384307</v>
      </c>
    </row>
    <row r="1225" spans="1:6" x14ac:dyDescent="0.3">
      <c r="A1225">
        <v>0.1</v>
      </c>
      <c r="B1225" t="s">
        <v>94</v>
      </c>
      <c r="C1225">
        <v>-0.64</v>
      </c>
      <c r="D1225">
        <v>-0.7581737446840443</v>
      </c>
      <c r="E1225">
        <v>5.1826202163442692E-2</v>
      </c>
      <c r="F1225">
        <v>598.29278261421348</v>
      </c>
    </row>
    <row r="1226" spans="1:6" x14ac:dyDescent="0.3">
      <c r="A1226">
        <v>0.1</v>
      </c>
      <c r="B1226" t="s">
        <v>94</v>
      </c>
      <c r="C1226">
        <v>-0.63</v>
      </c>
      <c r="D1226">
        <v>-0.74141614408126888</v>
      </c>
      <c r="E1226">
        <v>5.1494920356328321E-2</v>
      </c>
      <c r="F1226">
        <v>611.2947155275773</v>
      </c>
    </row>
    <row r="1227" spans="1:6" x14ac:dyDescent="0.3">
      <c r="A1227">
        <v>0.1</v>
      </c>
      <c r="B1227" t="s">
        <v>94</v>
      </c>
      <c r="C1227">
        <v>-0.62</v>
      </c>
      <c r="D1227">
        <v>-0.72500508775299921</v>
      </c>
      <c r="E1227">
        <v>5.1162584603917483E-2</v>
      </c>
      <c r="F1227">
        <v>624.59318133630404</v>
      </c>
    </row>
    <row r="1228" spans="1:6" x14ac:dyDescent="0.3">
      <c r="A1228">
        <v>0.1</v>
      </c>
      <c r="B1228" t="s">
        <v>94</v>
      </c>
      <c r="C1228">
        <v>-0.61</v>
      </c>
      <c r="D1228">
        <v>-0.7089213594274083</v>
      </c>
      <c r="E1228">
        <v>5.0828954659048749E-2</v>
      </c>
      <c r="F1228">
        <v>638.20603980046246</v>
      </c>
    </row>
    <row r="1229" spans="1:6" x14ac:dyDescent="0.3">
      <c r="A1229">
        <v>0.1</v>
      </c>
      <c r="B1229" t="s">
        <v>94</v>
      </c>
      <c r="C1229">
        <v>-0.6</v>
      </c>
      <c r="D1229">
        <v>-0.69314718055994529</v>
      </c>
      <c r="E1229">
        <v>5.0493841598384021E-2</v>
      </c>
      <c r="F1229">
        <v>652.15199732785845</v>
      </c>
    </row>
    <row r="1230" spans="1:6" x14ac:dyDescent="0.3">
      <c r="A1230">
        <v>0.1</v>
      </c>
      <c r="B1230" t="s">
        <v>94</v>
      </c>
      <c r="C1230">
        <v>-0.59</v>
      </c>
      <c r="D1230">
        <v>-0.67766606775796179</v>
      </c>
      <c r="E1230">
        <v>5.0157049342464823E-2</v>
      </c>
      <c r="F1230">
        <v>666.45077793375492</v>
      </c>
    </row>
    <row r="1231" spans="1:6" x14ac:dyDescent="0.3">
      <c r="A1231">
        <v>0.1</v>
      </c>
      <c r="B1231" t="s">
        <v>94</v>
      </c>
      <c r="C1231">
        <v>-0.57999999999999996</v>
      </c>
      <c r="D1231">
        <v>-0.66246270737179924</v>
      </c>
      <c r="E1231">
        <v>4.9818358032007889E-2</v>
      </c>
      <c r="F1231">
        <v>681.12325431467946</v>
      </c>
    </row>
    <row r="1232" spans="1:6" x14ac:dyDescent="0.3">
      <c r="A1232">
        <v>0.1</v>
      </c>
      <c r="B1232" t="s">
        <v>94</v>
      </c>
      <c r="C1232">
        <v>-0.56999999999999995</v>
      </c>
      <c r="D1232">
        <v>-0.64752284482737277</v>
      </c>
      <c r="E1232">
        <v>4.9477589132416205E-2</v>
      </c>
      <c r="F1232">
        <v>696.19146345447245</v>
      </c>
    </row>
    <row r="1233" spans="1:6" x14ac:dyDescent="0.3">
      <c r="A1233">
        <v>0.1</v>
      </c>
      <c r="B1233" t="s">
        <v>94</v>
      </c>
      <c r="C1233">
        <v>-0.56000000000000005</v>
      </c>
      <c r="D1233">
        <v>-0.63283318666563804</v>
      </c>
      <c r="E1233">
        <v>4.9134513169888587E-2</v>
      </c>
      <c r="F1233">
        <v>711.67886889380338</v>
      </c>
    </row>
    <row r="1234" spans="1:6" x14ac:dyDescent="0.3">
      <c r="A1234">
        <v>0.1</v>
      </c>
      <c r="B1234" t="s">
        <v>94</v>
      </c>
      <c r="C1234">
        <v>-0.55000000000000004</v>
      </c>
      <c r="D1234">
        <v>-0.61838131357446346</v>
      </c>
      <c r="E1234">
        <v>4.8788951822465731E-2</v>
      </c>
      <c r="F1234">
        <v>727.61033485817757</v>
      </c>
    </row>
    <row r="1235" spans="1:6" x14ac:dyDescent="0.3">
      <c r="A1235">
        <v>0.1</v>
      </c>
      <c r="B1235" t="s">
        <v>94</v>
      </c>
      <c r="C1235">
        <v>-0.54</v>
      </c>
      <c r="D1235">
        <v>-0.60415560296226711</v>
      </c>
      <c r="E1235">
        <v>4.844068309306257E-2</v>
      </c>
      <c r="F1235">
        <v>744.01242447494133</v>
      </c>
    </row>
    <row r="1236" spans="1:6" x14ac:dyDescent="0.3">
      <c r="A1236">
        <v>0.1</v>
      </c>
      <c r="B1236" t="s">
        <v>94</v>
      </c>
      <c r="C1236">
        <v>-0.53</v>
      </c>
      <c r="D1236">
        <v>-0.59014515984118854</v>
      </c>
      <c r="E1236">
        <v>4.8089511432036505E-2</v>
      </c>
      <c r="F1236">
        <v>760.91344568064676</v>
      </c>
    </row>
    <row r="1237" spans="1:6" x14ac:dyDescent="0.3">
      <c r="A1237">
        <v>0.1</v>
      </c>
      <c r="B1237" t="s">
        <v>94</v>
      </c>
      <c r="C1237">
        <v>-0.52</v>
      </c>
      <c r="D1237">
        <v>-0.57633975496919276</v>
      </c>
      <c r="E1237">
        <v>4.7735226200673123E-2</v>
      </c>
      <c r="F1237">
        <v>778.34369903087361</v>
      </c>
    </row>
    <row r="1238" spans="1:6" x14ac:dyDescent="0.3">
      <c r="A1238">
        <v>0.1</v>
      </c>
      <c r="B1238" t="s">
        <v>94</v>
      </c>
      <c r="C1238">
        <v>-0.51</v>
      </c>
      <c r="D1238">
        <v>-0.56272976935214891</v>
      </c>
      <c r="E1238">
        <v>4.7377627423714909E-2</v>
      </c>
      <c r="F1238">
        <v>796.33562849228758</v>
      </c>
    </row>
    <row r="1239" spans="1:6" x14ac:dyDescent="0.3">
      <c r="A1239">
        <v>0.1</v>
      </c>
      <c r="B1239" t="s">
        <v>94</v>
      </c>
      <c r="C1239">
        <v>-0.5</v>
      </c>
      <c r="D1239">
        <v>-0.54930614433405489</v>
      </c>
      <c r="E1239">
        <v>4.701647024549363E-2</v>
      </c>
      <c r="F1239">
        <v>814.92414976208022</v>
      </c>
    </row>
    <row r="1240" spans="1:6" x14ac:dyDescent="0.3">
      <c r="A1240">
        <v>0.1</v>
      </c>
      <c r="B1240" t="s">
        <v>94</v>
      </c>
      <c r="C1240">
        <v>-0.49</v>
      </c>
      <c r="D1240">
        <v>-0.53606033661056662</v>
      </c>
      <c r="E1240">
        <v>4.6651542055283803E-2</v>
      </c>
      <c r="F1240">
        <v>834.14674674153048</v>
      </c>
    </row>
    <row r="1241" spans="1:6" x14ac:dyDescent="0.3">
      <c r="A1241">
        <v>0.1</v>
      </c>
      <c r="B1241" t="s">
        <v>94</v>
      </c>
      <c r="C1241">
        <v>-0.48</v>
      </c>
      <c r="D1241">
        <v>-0.5229842775913438</v>
      </c>
      <c r="E1241">
        <v>4.6282631448472965E-2</v>
      </c>
      <c r="F1241">
        <v>854.04379987224456</v>
      </c>
    </row>
    <row r="1242" spans="1:6" x14ac:dyDescent="0.3">
      <c r="A1242">
        <v>0.1</v>
      </c>
      <c r="B1242" t="s">
        <v>94</v>
      </c>
      <c r="C1242">
        <v>-0.47</v>
      </c>
      <c r="D1242">
        <v>-0.51007033661330725</v>
      </c>
      <c r="E1242">
        <v>4.590948503385673E-2</v>
      </c>
      <c r="F1242">
        <v>874.65898988533377</v>
      </c>
    </row>
    <row r="1243" spans="1:6" x14ac:dyDescent="0.3">
      <c r="A1243">
        <v>0.1</v>
      </c>
      <c r="B1243" t="s">
        <v>94</v>
      </c>
      <c r="C1243">
        <v>-0.46</v>
      </c>
      <c r="D1243">
        <v>-0.49731128757203097</v>
      </c>
      <c r="E1243">
        <v>4.5531868102308637E-2</v>
      </c>
      <c r="F1243">
        <v>896.0395139774414</v>
      </c>
    </row>
    <row r="1244" spans="1:6" x14ac:dyDescent="0.3">
      <c r="A1244">
        <v>0.1</v>
      </c>
      <c r="B1244" t="s">
        <v>94</v>
      </c>
      <c r="C1244">
        <v>-0.45</v>
      </c>
      <c r="D1244">
        <v>-0.48470027859405168</v>
      </c>
      <c r="E1244">
        <v>4.5149520436462059E-2</v>
      </c>
      <c r="F1244">
        <v>918.23657465763108</v>
      </c>
    </row>
    <row r="1245" spans="1:6" x14ac:dyDescent="0.3">
      <c r="A1245">
        <v>0.1</v>
      </c>
      <c r="B1245" t="s">
        <v>94</v>
      </c>
      <c r="C1245">
        <v>-0.44</v>
      </c>
      <c r="D1245">
        <v>-0.47223080442042559</v>
      </c>
      <c r="E1245">
        <v>4.4762176772138958E-2</v>
      </c>
      <c r="F1245">
        <v>941.30577664407065</v>
      </c>
    </row>
    <row r="1246" spans="1:6" x14ac:dyDescent="0.3">
      <c r="A1246">
        <v>0.1</v>
      </c>
      <c r="B1246" t="s">
        <v>94</v>
      </c>
      <c r="C1246">
        <v>-0.43</v>
      </c>
      <c r="D1246">
        <v>-0.45989668121267852</v>
      </c>
      <c r="E1246">
        <v>4.4369573498807345E-2</v>
      </c>
      <c r="F1246">
        <v>965.30760784037523</v>
      </c>
    </row>
    <row r="1247" spans="1:6" x14ac:dyDescent="0.3">
      <c r="A1247">
        <v>0.1</v>
      </c>
      <c r="B1247" t="s">
        <v>94</v>
      </c>
      <c r="C1247">
        <v>-0.42</v>
      </c>
      <c r="D1247">
        <v>-0.4476920235274206</v>
      </c>
      <c r="E1247">
        <v>4.3971429893102813E-2</v>
      </c>
      <c r="F1247">
        <v>990.30805609909635</v>
      </c>
    </row>
    <row r="1248" spans="1:6" x14ac:dyDescent="0.3">
      <c r="A1248">
        <v>0.1</v>
      </c>
      <c r="B1248" t="s">
        <v>94</v>
      </c>
      <c r="C1248">
        <v>-0.41</v>
      </c>
      <c r="D1248">
        <v>-0.43561122323622431</v>
      </c>
      <c r="E1248">
        <v>4.3567442267833822E-2</v>
      </c>
      <c r="F1248">
        <v>1016.3792806538963</v>
      </c>
    </row>
    <row r="1249" spans="1:6" x14ac:dyDescent="0.3">
      <c r="A1249">
        <v>0.1</v>
      </c>
      <c r="B1249" t="s">
        <v>94</v>
      </c>
      <c r="C1249">
        <v>-0.4</v>
      </c>
      <c r="D1249">
        <v>-0.42364893019360178</v>
      </c>
      <c r="E1249">
        <v>4.3157290435052606E-2</v>
      </c>
      <c r="F1249">
        <v>1043.6003443015911</v>
      </c>
    </row>
    <row r="1250" spans="1:6" x14ac:dyDescent="0.3">
      <c r="A1250">
        <v>0.1</v>
      </c>
      <c r="B1250" t="s">
        <v>94</v>
      </c>
      <c r="C1250">
        <v>-0.39</v>
      </c>
      <c r="D1250">
        <v>-0.41180003447869035</v>
      </c>
      <c r="E1250">
        <v>4.2740655902651081E-2</v>
      </c>
      <c r="F1250">
        <v>1072.0580131076397</v>
      </c>
    </row>
    <row r="1251" spans="1:6" x14ac:dyDescent="0.3">
      <c r="A1251">
        <v>0.1</v>
      </c>
      <c r="B1251" t="s">
        <v>94</v>
      </c>
      <c r="C1251">
        <v>-0.38</v>
      </c>
      <c r="D1251">
        <v>-0.40005965005605654</v>
      </c>
      <c r="E1251">
        <v>4.2317202895690131E-2</v>
      </c>
      <c r="F1251">
        <v>1101.8477962420486</v>
      </c>
    </row>
    <row r="1252" spans="1:6" x14ac:dyDescent="0.3">
      <c r="A1252">
        <v>0.1</v>
      </c>
      <c r="B1252" t="s">
        <v>94</v>
      </c>
      <c r="C1252">
        <v>-0.37</v>
      </c>
      <c r="D1252">
        <v>-0.38842309971829614</v>
      </c>
      <c r="E1252">
        <v>4.1886536083877927E-2</v>
      </c>
      <c r="F1252">
        <v>1133.0752394132871</v>
      </c>
    </row>
    <row r="1253" spans="1:6" x14ac:dyDescent="0.3">
      <c r="A1253">
        <v>0.1</v>
      </c>
      <c r="B1253" t="s">
        <v>94</v>
      </c>
      <c r="C1253">
        <v>-0.36</v>
      </c>
      <c r="D1253">
        <v>-0.37688590118819004</v>
      </c>
      <c r="E1253">
        <v>4.1448303021958358E-2</v>
      </c>
      <c r="F1253">
        <v>1165.8569020335822</v>
      </c>
    </row>
    <row r="1254" spans="1:6" x14ac:dyDescent="0.3">
      <c r="A1254">
        <v>0.1</v>
      </c>
      <c r="B1254" t="s">
        <v>94</v>
      </c>
      <c r="C1254">
        <v>-0.35</v>
      </c>
      <c r="D1254">
        <v>-0.36544375427139619</v>
      </c>
      <c r="E1254">
        <v>4.1002067428046823E-2</v>
      </c>
      <c r="F1254">
        <v>1200.3223485295225</v>
      </c>
    </row>
    <row r="1255" spans="1:6" x14ac:dyDescent="0.3">
      <c r="A1255">
        <v>0.1</v>
      </c>
      <c r="B1255" t="s">
        <v>94</v>
      </c>
      <c r="C1255">
        <v>-0.34</v>
      </c>
      <c r="D1255">
        <v>-0.35409252896224297</v>
      </c>
      <c r="E1255">
        <v>4.0547399233405244E-2</v>
      </c>
      <c r="F1255">
        <v>1236.615643782568</v>
      </c>
    </row>
    <row r="1256" spans="1:6" x14ac:dyDescent="0.3">
      <c r="A1256">
        <v>0.1</v>
      </c>
      <c r="B1256" t="s">
        <v>94</v>
      </c>
      <c r="C1256">
        <v>-0.33</v>
      </c>
      <c r="D1256">
        <v>-0.34282825441539394</v>
      </c>
      <c r="E1256">
        <v>4.0083844217794214E-2</v>
      </c>
      <c r="F1256">
        <v>1274.8975856032166</v>
      </c>
    </row>
    <row r="1257" spans="1:6" x14ac:dyDescent="0.3">
      <c r="A1257">
        <v>0.1</v>
      </c>
      <c r="B1257" t="s">
        <v>94</v>
      </c>
      <c r="C1257">
        <v>-0.32</v>
      </c>
      <c r="D1257">
        <v>-0.3316471087051322</v>
      </c>
      <c r="E1257">
        <v>3.9610906532840738E-2</v>
      </c>
      <c r="F1257">
        <v>1315.3482970831221</v>
      </c>
    </row>
    <row r="1258" spans="1:6" x14ac:dyDescent="0.3">
      <c r="A1258">
        <v>0.1</v>
      </c>
      <c r="B1258" t="s">
        <v>94</v>
      </c>
      <c r="C1258">
        <v>-0.31</v>
      </c>
      <c r="D1258">
        <v>-0.32054540930194608</v>
      </c>
      <c r="E1258">
        <v>3.912803202679993E-2</v>
      </c>
      <c r="F1258">
        <v>1358.1703082991762</v>
      </c>
    </row>
    <row r="1259" spans="1:6" x14ac:dyDescent="0.3">
      <c r="A1259">
        <v>0.1</v>
      </c>
      <c r="B1259" t="s">
        <v>94</v>
      </c>
      <c r="C1259">
        <v>-0.3</v>
      </c>
      <c r="D1259">
        <v>-0.30951960420311175</v>
      </c>
      <c r="E1259">
        <v>3.8634672255976513E-2</v>
      </c>
      <c r="F1259">
        <v>1403.5918225605431</v>
      </c>
    </row>
    <row r="1260" spans="1:6" x14ac:dyDescent="0.3">
      <c r="A1260">
        <v>0.1</v>
      </c>
      <c r="B1260" t="s">
        <v>94</v>
      </c>
      <c r="C1260">
        <v>-0.28999999999999998</v>
      </c>
      <c r="D1260">
        <v>-0.29856626366017835</v>
      </c>
      <c r="E1260">
        <v>3.8130198576135213E-2</v>
      </c>
      <c r="F1260">
        <v>1451.8714033822794</v>
      </c>
    </row>
    <row r="1261" spans="1:6" x14ac:dyDescent="0.3">
      <c r="A1261">
        <v>0.1</v>
      </c>
      <c r="B1261" t="s">
        <v>94</v>
      </c>
      <c r="C1261">
        <v>-0.28000000000000003</v>
      </c>
      <c r="D1261">
        <v>-0.2876820724517809</v>
      </c>
      <c r="E1261">
        <v>3.7613943756410292E-2</v>
      </c>
      <c r="F1261">
        <v>1503.3029499984809</v>
      </c>
    </row>
    <row r="1262" spans="1:6" x14ac:dyDescent="0.3">
      <c r="A1262">
        <v>0.1</v>
      </c>
      <c r="B1262" t="s">
        <v>94</v>
      </c>
      <c r="C1262">
        <v>-0.27</v>
      </c>
      <c r="D1262">
        <v>-0.27686382265510007</v>
      </c>
      <c r="E1262">
        <v>3.708519731315945E-2</v>
      </c>
      <c r="F1262">
        <v>1558.2219794280159</v>
      </c>
    </row>
    <row r="1263" spans="1:6" x14ac:dyDescent="0.3">
      <c r="A1263">
        <v>0.1</v>
      </c>
      <c r="B1263" t="s">
        <v>94</v>
      </c>
      <c r="C1263">
        <v>-0.26</v>
      </c>
      <c r="D1263">
        <v>-0.26610840687365411</v>
      </c>
      <c r="E1263">
        <v>3.6543156860072534E-2</v>
      </c>
      <c r="F1263">
        <v>1617.0135901328529</v>
      </c>
    </row>
    <row r="1264" spans="1:6" x14ac:dyDescent="0.3">
      <c r="A1264">
        <v>0.1</v>
      </c>
      <c r="B1264" t="s">
        <v>94</v>
      </c>
      <c r="C1264">
        <v>-0.25</v>
      </c>
      <c r="D1264">
        <v>-0.25541281188299536</v>
      </c>
      <c r="E1264">
        <v>3.5986980831926016E-2</v>
      </c>
      <c r="F1264">
        <v>1680.1215823852763</v>
      </c>
    </row>
    <row r="1265" spans="1:6" x14ac:dyDescent="0.3">
      <c r="A1265">
        <v>0.1</v>
      </c>
      <c r="B1265" t="s">
        <v>94</v>
      </c>
      <c r="C1265">
        <v>-0.24</v>
      </c>
      <c r="D1265">
        <v>-0.24477411265935289</v>
      </c>
      <c r="E1265">
        <v>3.541571896879709E-2</v>
      </c>
      <c r="F1265">
        <v>1748.0606201916005</v>
      </c>
    </row>
    <row r="1266" spans="1:6" x14ac:dyDescent="0.3">
      <c r="A1266">
        <v>0.1</v>
      </c>
      <c r="B1266" t="s">
        <v>94</v>
      </c>
      <c r="C1266">
        <v>-0.23</v>
      </c>
      <c r="D1266">
        <v>-0.23418946675936678</v>
      </c>
      <c r="E1266">
        <v>3.4828354555462827E-2</v>
      </c>
      <c r="F1266">
        <v>1821.4305898388698</v>
      </c>
    </row>
    <row r="1267" spans="1:6" x14ac:dyDescent="0.3">
      <c r="A1267">
        <v>0.1</v>
      </c>
      <c r="B1267" t="s">
        <v>94</v>
      </c>
      <c r="C1267">
        <v>-0.22</v>
      </c>
      <c r="D1267">
        <v>-0.22365610902183239</v>
      </c>
      <c r="E1267">
        <v>3.4223726664251046E-2</v>
      </c>
      <c r="F1267">
        <v>1900.9356834152243</v>
      </c>
    </row>
    <row r="1268" spans="1:6" x14ac:dyDescent="0.3">
      <c r="A1268">
        <v>0.1</v>
      </c>
      <c r="B1268" t="s">
        <v>94</v>
      </c>
      <c r="C1268">
        <v>-0.21</v>
      </c>
      <c r="D1268">
        <v>-0.21317134656485975</v>
      </c>
      <c r="E1268">
        <v>3.3600595121890987E-2</v>
      </c>
      <c r="F1268">
        <v>1987.4074209982066</v>
      </c>
    </row>
    <row r="1269" spans="1:6" x14ac:dyDescent="0.3">
      <c r="A1269">
        <v>0.1</v>
      </c>
      <c r="B1269" t="s">
        <v>94</v>
      </c>
      <c r="C1269">
        <v>-0.2</v>
      </c>
      <c r="D1269">
        <v>-0.20273255405408214</v>
      </c>
      <c r="E1269">
        <v>3.2957533206471913E-2</v>
      </c>
      <c r="F1269">
        <v>2081.8358966698011</v>
      </c>
    </row>
    <row r="1270" spans="1:6" x14ac:dyDescent="0.3">
      <c r="A1270">
        <v>0.1</v>
      </c>
      <c r="B1270" t="s">
        <v>94</v>
      </c>
      <c r="C1270">
        <v>-0.19</v>
      </c>
      <c r="D1270">
        <v>-0.1923371692195453</v>
      </c>
      <c r="E1270">
        <v>3.2292972975866113E-2</v>
      </c>
      <c r="F1270">
        <v>2185.4088606729347</v>
      </c>
    </row>
    <row r="1271" spans="1:6" x14ac:dyDescent="0.3">
      <c r="A1271">
        <v>0.1</v>
      </c>
      <c r="B1271" t="s">
        <v>94</v>
      </c>
      <c r="C1271">
        <v>-0.18</v>
      </c>
      <c r="D1271">
        <v>-0.18198268860070579</v>
      </c>
      <c r="E1271">
        <v>3.1605134069247323E-2</v>
      </c>
      <c r="F1271">
        <v>2299.5644585880159</v>
      </c>
    </row>
    <row r="1272" spans="1:6" x14ac:dyDescent="0.3">
      <c r="A1272">
        <v>0.1</v>
      </c>
      <c r="B1272" t="s">
        <v>94</v>
      </c>
      <c r="C1272">
        <v>-0.17</v>
      </c>
      <c r="D1272">
        <v>-0.17166666350057908</v>
      </c>
      <c r="E1272">
        <v>3.0891997718043025E-2</v>
      </c>
      <c r="F1272">
        <v>2426.0611100750489</v>
      </c>
    </row>
    <row r="1273" spans="1:6" x14ac:dyDescent="0.3">
      <c r="A1273">
        <v>0.1</v>
      </c>
      <c r="B1273" t="s">
        <v>94</v>
      </c>
      <c r="C1273">
        <v>-0.16</v>
      </c>
      <c r="D1273">
        <v>-0.16138669613152551</v>
      </c>
      <c r="E1273">
        <v>3.0151261948752499E-2</v>
      </c>
      <c r="F1273">
        <v>2567.0724301697906</v>
      </c>
    </row>
    <row r="1274" spans="1:6" x14ac:dyDescent="0.3">
      <c r="A1274">
        <v>0.1</v>
      </c>
      <c r="B1274" t="s">
        <v>94</v>
      </c>
      <c r="C1274">
        <v>-0.15</v>
      </c>
      <c r="D1274">
        <v>-0.15114043593646675</v>
      </c>
      <c r="E1274">
        <v>2.9380268820135821E-2</v>
      </c>
      <c r="F1274">
        <v>2725.31845912774</v>
      </c>
    </row>
    <row r="1275" spans="1:6" x14ac:dyDescent="0.3">
      <c r="A1275">
        <v>0.1</v>
      </c>
      <c r="B1275" t="s">
        <v>94</v>
      </c>
      <c r="C1275">
        <v>-0.14000000000000001</v>
      </c>
      <c r="D1275">
        <v>-0.14092557607049394</v>
      </c>
      <c r="E1275">
        <v>2.8575915448182665E-2</v>
      </c>
      <c r="F1275">
        <v>2904.2502249793311</v>
      </c>
    </row>
    <row r="1276" spans="1:6" x14ac:dyDescent="0.3">
      <c r="A1276">
        <v>0.1</v>
      </c>
      <c r="B1276" t="s">
        <v>94</v>
      </c>
      <c r="C1276">
        <v>-0.13</v>
      </c>
      <c r="D1276">
        <v>-0.13073985002887836</v>
      </c>
      <c r="E1276">
        <v>2.773459019224191E-2</v>
      </c>
      <c r="F1276">
        <v>3108.3138015297131</v>
      </c>
    </row>
    <row r="1277" spans="1:6" x14ac:dyDescent="0.3">
      <c r="A1277">
        <v>0.1</v>
      </c>
      <c r="B1277" t="s">
        <v>94</v>
      </c>
      <c r="C1277">
        <v>-0.12</v>
      </c>
      <c r="D1277">
        <v>-0.12058102840844405</v>
      </c>
      <c r="E1277">
        <v>2.6851962858418104E-2</v>
      </c>
      <c r="F1277">
        <v>3343.3412942932496</v>
      </c>
    </row>
    <row r="1278" spans="1:6" x14ac:dyDescent="0.3">
      <c r="A1278">
        <v>0.1</v>
      </c>
      <c r="B1278" t="s">
        <v>94</v>
      </c>
      <c r="C1278">
        <v>-0.11</v>
      </c>
      <c r="D1278">
        <v>-0.1104469157900972</v>
      </c>
      <c r="E1278">
        <v>2.592285032635263E-2</v>
      </c>
      <c r="F1278">
        <v>3617.1390959944947</v>
      </c>
    </row>
    <row r="1279" spans="1:6" x14ac:dyDescent="0.3">
      <c r="A1279">
        <v>0.1</v>
      </c>
      <c r="B1279" t="s">
        <v>94</v>
      </c>
      <c r="C1279">
        <v>-0.1</v>
      </c>
      <c r="D1279">
        <v>-0.10033534773107562</v>
      </c>
      <c r="E1279">
        <v>2.4940907795362455E-2</v>
      </c>
      <c r="F1279">
        <v>3940.4090603446966</v>
      </c>
    </row>
    <row r="1280" spans="1:6" x14ac:dyDescent="0.3">
      <c r="A1280">
        <v>0.1</v>
      </c>
      <c r="B1280" t="s">
        <v>94</v>
      </c>
      <c r="C1280">
        <v>-0.09</v>
      </c>
      <c r="D1280">
        <v>-9.0244187856146837E-2</v>
      </c>
      <c r="E1280">
        <v>2.3898150501035168E-2</v>
      </c>
      <c r="F1280">
        <v>4328.2441352324331</v>
      </c>
    </row>
    <row r="1281" spans="1:6" x14ac:dyDescent="0.3">
      <c r="A1281">
        <v>0.1</v>
      </c>
      <c r="B1281" t="s">
        <v>94</v>
      </c>
      <c r="C1281">
        <v>-0.08</v>
      </c>
      <c r="D1281">
        <v>-8.0171325037589683E-2</v>
      </c>
      <c r="E1281">
        <v>2.2784500212135086E-2</v>
      </c>
      <c r="F1281">
        <v>4802.6536600192549</v>
      </c>
    </row>
    <row r="1282" spans="1:6" x14ac:dyDescent="0.3">
      <c r="A1282">
        <v>0.1</v>
      </c>
      <c r="B1282" t="s">
        <v>94</v>
      </c>
      <c r="C1282">
        <v>-7.0000000000000007E-2</v>
      </c>
      <c r="D1282">
        <v>-7.0114670654325195E-2</v>
      </c>
      <c r="E1282">
        <v>2.1586648771048648E-2</v>
      </c>
      <c r="F1282">
        <v>5397.0970683242203</v>
      </c>
    </row>
    <row r="1283" spans="1:6" x14ac:dyDescent="0.3">
      <c r="A1283">
        <v>0.1</v>
      </c>
      <c r="B1283" t="s">
        <v>94</v>
      </c>
      <c r="C1283">
        <v>-0.06</v>
      </c>
      <c r="D1283">
        <v>-6.007215592103167E-2</v>
      </c>
      <c r="E1283">
        <v>2.0286525561589996E-2</v>
      </c>
      <c r="F1283">
        <v>6165.1402927480412</v>
      </c>
    </row>
    <row r="1284" spans="1:6" x14ac:dyDescent="0.3">
      <c r="A1284">
        <v>0.1</v>
      </c>
      <c r="B1284" t="s">
        <v>94</v>
      </c>
      <c r="C1284">
        <v>-0.05</v>
      </c>
      <c r="D1284">
        <v>-5.0041729278491327E-2</v>
      </c>
      <c r="E1284">
        <v>1.8858497907503276E-2</v>
      </c>
      <c r="F1284">
        <v>7198.4743355393184</v>
      </c>
    </row>
    <row r="1285" spans="1:6" x14ac:dyDescent="0.3">
      <c r="A1285">
        <v>0.1</v>
      </c>
      <c r="B1285" t="s">
        <v>94</v>
      </c>
      <c r="C1285">
        <v>-0.04</v>
      </c>
      <c r="D1285">
        <v>-4.0021353836768248E-2</v>
      </c>
      <c r="E1285">
        <v>1.726372341639764E-2</v>
      </c>
      <c r="F1285">
        <v>8668.9019647661007</v>
      </c>
    </row>
    <row r="1286" spans="1:6" x14ac:dyDescent="0.3">
      <c r="A1286">
        <v>0.1</v>
      </c>
      <c r="B1286" t="s">
        <v>94</v>
      </c>
      <c r="C1286">
        <v>-0.03</v>
      </c>
      <c r="D1286">
        <v>-3.000900486312652E-2</v>
      </c>
      <c r="E1286">
        <v>1.5438200361125334E-2</v>
      </c>
      <c r="F1286">
        <v>10942.704137262377</v>
      </c>
    </row>
    <row r="1287" spans="1:6" x14ac:dyDescent="0.3">
      <c r="A1287">
        <v>0.1</v>
      </c>
      <c r="B1287" t="s">
        <v>94</v>
      </c>
      <c r="C1287">
        <v>-0.02</v>
      </c>
      <c r="D1287">
        <v>-2.0002667306849624E-2</v>
      </c>
      <c r="E1287">
        <v>1.3260779783576586E-2</v>
      </c>
      <c r="F1287">
        <v>14976.675907451734</v>
      </c>
    </row>
    <row r="1288" spans="1:6" x14ac:dyDescent="0.3">
      <c r="A1288">
        <v>0.1</v>
      </c>
      <c r="B1288" t="s">
        <v>94</v>
      </c>
      <c r="C1288">
        <v>-0.01</v>
      </c>
      <c r="D1288">
        <v>-1.0000333353334771E-2</v>
      </c>
      <c r="E1288">
        <v>1.0436276555162447E-2</v>
      </c>
      <c r="F1288">
        <v>24431.698001386281</v>
      </c>
    </row>
    <row r="1289" spans="1:6" x14ac:dyDescent="0.3">
      <c r="A1289">
        <v>0.05</v>
      </c>
      <c r="B1289" t="s">
        <v>94</v>
      </c>
      <c r="C1289">
        <v>-0.99</v>
      </c>
      <c r="D1289">
        <v>-2.6466524123622457</v>
      </c>
      <c r="E1289">
        <v>8.1079329858788698E-2</v>
      </c>
      <c r="F1289">
        <v>175.35376426089442</v>
      </c>
    </row>
    <row r="1290" spans="1:6" x14ac:dyDescent="0.3">
      <c r="A1290">
        <v>0.05</v>
      </c>
      <c r="B1290" t="s">
        <v>94</v>
      </c>
      <c r="C1290">
        <v>-0.98</v>
      </c>
      <c r="D1290">
        <v>-2.2975599250672945</v>
      </c>
      <c r="E1290">
        <v>7.9350640353201746E-2</v>
      </c>
      <c r="F1290">
        <v>201.0920361884663</v>
      </c>
    </row>
    <row r="1291" spans="1:6" x14ac:dyDescent="0.3">
      <c r="A1291">
        <v>0.05</v>
      </c>
      <c r="B1291" t="s">
        <v>94</v>
      </c>
      <c r="C1291">
        <v>-0.97</v>
      </c>
      <c r="D1291">
        <v>-2.0922957200349388</v>
      </c>
      <c r="E1291">
        <v>7.8138511752107828E-2</v>
      </c>
      <c r="F1291">
        <v>220.16688938212525</v>
      </c>
    </row>
    <row r="1292" spans="1:6" x14ac:dyDescent="0.3">
      <c r="A1292">
        <v>0.05</v>
      </c>
      <c r="B1292" t="s">
        <v>94</v>
      </c>
      <c r="C1292">
        <v>-0.96</v>
      </c>
      <c r="D1292">
        <v>-1.9459101490553128</v>
      </c>
      <c r="E1292">
        <v>7.7162488696311954E-2</v>
      </c>
      <c r="F1292">
        <v>236.18419883773873</v>
      </c>
    </row>
    <row r="1293" spans="1:6" x14ac:dyDescent="0.3">
      <c r="A1293">
        <v>0.05</v>
      </c>
      <c r="B1293" t="s">
        <v>94</v>
      </c>
      <c r="C1293">
        <v>-0.95</v>
      </c>
      <c r="D1293">
        <v>-1.8317808230648227</v>
      </c>
      <c r="E1293">
        <v>7.6325350019467386E-2</v>
      </c>
      <c r="F1293">
        <v>250.41467745289287</v>
      </c>
    </row>
    <row r="1294" spans="1:6" x14ac:dyDescent="0.3">
      <c r="A1294">
        <v>0.05</v>
      </c>
      <c r="B1294" t="s">
        <v>94</v>
      </c>
      <c r="C1294">
        <v>-0.94</v>
      </c>
      <c r="D1294">
        <v>-1.7380493449176362</v>
      </c>
      <c r="E1294">
        <v>7.5580701583581336E-2</v>
      </c>
      <c r="F1294">
        <v>263.47223325751804</v>
      </c>
    </row>
    <row r="1295" spans="1:6" x14ac:dyDescent="0.3">
      <c r="A1295">
        <v>0.05</v>
      </c>
      <c r="B1295" t="s">
        <v>94</v>
      </c>
      <c r="C1295">
        <v>-0.93</v>
      </c>
      <c r="D1295">
        <v>-1.6583900199247865</v>
      </c>
      <c r="E1295">
        <v>7.4902437613208112E-2</v>
      </c>
      <c r="F1295">
        <v>275.70626559023196</v>
      </c>
    </row>
    <row r="1296" spans="1:6" x14ac:dyDescent="0.3">
      <c r="A1296">
        <v>0.05</v>
      </c>
      <c r="B1296" t="s">
        <v>94</v>
      </c>
      <c r="C1296">
        <v>-0.92</v>
      </c>
      <c r="D1296">
        <v>-1.5890269151739731</v>
      </c>
      <c r="E1296">
        <v>7.4274250377777268E-2</v>
      </c>
      <c r="F1296">
        <v>287.33727830342531</v>
      </c>
    </row>
    <row r="1297" spans="1:6" x14ac:dyDescent="0.3">
      <c r="A1297">
        <v>0.05</v>
      </c>
      <c r="B1297" t="s">
        <v>94</v>
      </c>
      <c r="C1297">
        <v>-0.91</v>
      </c>
      <c r="D1297">
        <v>-1.5275244253552054</v>
      </c>
      <c r="E1297">
        <v>7.3685208068492603E-2</v>
      </c>
      <c r="F1297">
        <v>298.51484200827059</v>
      </c>
    </row>
    <row r="1298" spans="1:6" x14ac:dyDescent="0.3">
      <c r="A1298">
        <v>0.05</v>
      </c>
      <c r="B1298" t="s">
        <v>94</v>
      </c>
      <c r="C1298">
        <v>-0.9</v>
      </c>
      <c r="D1298">
        <v>-1.4722194895832204</v>
      </c>
      <c r="E1298">
        <v>7.3127591602198838E-2</v>
      </c>
      <c r="F1298">
        <v>309.34603422830395</v>
      </c>
    </row>
    <row r="1299" spans="1:6" x14ac:dyDescent="0.3">
      <c r="A1299">
        <v>0.05</v>
      </c>
      <c r="B1299" t="s">
        <v>94</v>
      </c>
      <c r="C1299">
        <v>-0.89</v>
      </c>
      <c r="D1299">
        <v>-1.421925871130636</v>
      </c>
      <c r="E1299">
        <v>7.2595700537418109E-2</v>
      </c>
      <c r="F1299">
        <v>319.9108415193387</v>
      </c>
    </row>
    <row r="1300" spans="1:6" x14ac:dyDescent="0.3">
      <c r="A1300">
        <v>0.05</v>
      </c>
      <c r="B1300" t="s">
        <v>94</v>
      </c>
      <c r="C1300">
        <v>-0.88</v>
      </c>
      <c r="D1300">
        <v>-1.3757676565209744</v>
      </c>
      <c r="E1300">
        <v>7.2085210239177716E-2</v>
      </c>
      <c r="F1300">
        <v>330.27110732550562</v>
      </c>
    </row>
    <row r="1301" spans="1:6" x14ac:dyDescent="0.3">
      <c r="A1301">
        <v>0.05</v>
      </c>
      <c r="B1301" t="s">
        <v>94</v>
      </c>
      <c r="C1301">
        <v>-0.87</v>
      </c>
      <c r="D1301">
        <v>-1.333079629696525</v>
      </c>
      <c r="E1301">
        <v>7.1592786037892389E-2</v>
      </c>
      <c r="F1301">
        <v>340.47604381629719</v>
      </c>
    </row>
    <row r="1302" spans="1:6" x14ac:dyDescent="0.3">
      <c r="A1302">
        <v>0.05</v>
      </c>
      <c r="B1302" t="s">
        <v>94</v>
      </c>
      <c r="C1302">
        <v>-0.86</v>
      </c>
      <c r="D1302">
        <v>-1.2933446720489712</v>
      </c>
      <c r="E1302">
        <v>7.1115684506575988E-2</v>
      </c>
      <c r="F1302">
        <v>350.56587340361352</v>
      </c>
    </row>
    <row r="1303" spans="1:6" x14ac:dyDescent="0.3">
      <c r="A1303">
        <v>0.05</v>
      </c>
      <c r="B1303" t="s">
        <v>94</v>
      </c>
      <c r="C1303">
        <v>-0.85</v>
      </c>
      <c r="D1303">
        <v>-1.2561528119880574</v>
      </c>
      <c r="E1303">
        <v>7.0651747774959209E-2</v>
      </c>
      <c r="F1303">
        <v>360.57413855210137</v>
      </c>
    </row>
    <row r="1304" spans="1:6" x14ac:dyDescent="0.3">
      <c r="A1304">
        <v>0.05</v>
      </c>
      <c r="B1304" t="s">
        <v>94</v>
      </c>
      <c r="C1304">
        <v>-0.84</v>
      </c>
      <c r="D1304">
        <v>-1.2211735176846021</v>
      </c>
      <c r="E1304">
        <v>7.0199144287695109E-2</v>
      </c>
      <c r="F1304">
        <v>370.52943909787922</v>
      </c>
    </row>
    <row r="1305" spans="1:6" x14ac:dyDescent="0.3">
      <c r="A1305">
        <v>0.05</v>
      </c>
      <c r="B1305" t="s">
        <v>94</v>
      </c>
      <c r="C1305">
        <v>-0.83</v>
      </c>
      <c r="D1305">
        <v>-1.1881364043926024</v>
      </c>
      <c r="E1305">
        <v>6.9756384646072506E-2</v>
      </c>
      <c r="F1305">
        <v>380.4565616647032</v>
      </c>
    </row>
    <row r="1306" spans="1:6" x14ac:dyDescent="0.3">
      <c r="A1306">
        <v>0.05</v>
      </c>
      <c r="B1306" t="s">
        <v>94</v>
      </c>
      <c r="C1306">
        <v>-0.82</v>
      </c>
      <c r="D1306">
        <v>-1.1568174645903151</v>
      </c>
      <c r="E1306">
        <v>6.9322176616537293E-2</v>
      </c>
      <c r="F1306">
        <v>390.37739555832587</v>
      </c>
    </row>
    <row r="1307" spans="1:6" x14ac:dyDescent="0.3">
      <c r="A1307">
        <v>0.05</v>
      </c>
      <c r="B1307" t="s">
        <v>94</v>
      </c>
      <c r="C1307">
        <v>-0.81</v>
      </c>
      <c r="D1307">
        <v>-1.1270290260496929</v>
      </c>
      <c r="E1307">
        <v>6.8895407002770415E-2</v>
      </c>
      <c r="F1307">
        <v>400.31156647550341</v>
      </c>
    </row>
    <row r="1308" spans="1:6" x14ac:dyDescent="0.3">
      <c r="A1308">
        <v>0.05</v>
      </c>
      <c r="B1308" t="s">
        <v>94</v>
      </c>
      <c r="C1308">
        <v>-0.8</v>
      </c>
      <c r="D1308">
        <v>-1.0986122886681098</v>
      </c>
      <c r="E1308">
        <v>6.8475108267388438E-2</v>
      </c>
      <c r="F1308">
        <v>410.27693076755071</v>
      </c>
    </row>
    <row r="1309" spans="1:6" x14ac:dyDescent="0.3">
      <c r="A1309">
        <v>0.05</v>
      </c>
      <c r="B1309" t="s">
        <v>94</v>
      </c>
      <c r="C1309">
        <v>-0.79</v>
      </c>
      <c r="D1309">
        <v>-1.0714316840586662</v>
      </c>
      <c r="E1309">
        <v>6.8060456272012279E-2</v>
      </c>
      <c r="F1309">
        <v>420.28994238212658</v>
      </c>
    </row>
    <row r="1310" spans="1:6" x14ac:dyDescent="0.3">
      <c r="A1310">
        <v>0.05</v>
      </c>
      <c r="B1310" t="s">
        <v>94</v>
      </c>
      <c r="C1310">
        <v>-0.78</v>
      </c>
      <c r="D1310">
        <v>-1.0453705484668847</v>
      </c>
      <c r="E1310">
        <v>6.7650715764162261E-2</v>
      </c>
      <c r="F1310">
        <v>430.36597939243637</v>
      </c>
    </row>
    <row r="1311" spans="1:6" x14ac:dyDescent="0.3">
      <c r="A1311">
        <v>0.05</v>
      </c>
      <c r="B1311" t="s">
        <v>94</v>
      </c>
      <c r="C1311">
        <v>-0.77</v>
      </c>
      <c r="D1311">
        <v>-1.0203277583223398</v>
      </c>
      <c r="E1311">
        <v>6.7245215167679173E-2</v>
      </c>
      <c r="F1311">
        <v>440.51959686117283</v>
      </c>
    </row>
    <row r="1312" spans="1:6" x14ac:dyDescent="0.3">
      <c r="A1312">
        <v>0.05</v>
      </c>
      <c r="B1312" t="s">
        <v>94</v>
      </c>
      <c r="C1312">
        <v>-0.76</v>
      </c>
      <c r="D1312">
        <v>-0.99621508234510314</v>
      </c>
      <c r="E1312">
        <v>6.6843357934821448E-2</v>
      </c>
      <c r="F1312">
        <v>450.76470988091415</v>
      </c>
    </row>
    <row r="1313" spans="1:6" x14ac:dyDescent="0.3">
      <c r="A1313">
        <v>0.05</v>
      </c>
      <c r="B1313" t="s">
        <v>94</v>
      </c>
      <c r="C1313">
        <v>-0.75</v>
      </c>
      <c r="D1313">
        <v>-0.97295507452765673</v>
      </c>
      <c r="E1313">
        <v>6.644461646666544E-2</v>
      </c>
      <c r="F1313">
        <v>461.11475576615203</v>
      </c>
    </row>
    <row r="1314" spans="1:6" x14ac:dyDescent="0.3">
      <c r="A1314">
        <v>0.05</v>
      </c>
      <c r="B1314" t="s">
        <v>94</v>
      </c>
      <c r="C1314">
        <v>-0.74</v>
      </c>
      <c r="D1314">
        <v>-0.95047938059652348</v>
      </c>
      <c r="E1314">
        <v>6.6048499683200118E-2</v>
      </c>
      <c r="F1314">
        <v>471.58285437974592</v>
      </c>
    </row>
    <row r="1315" spans="1:6" x14ac:dyDescent="0.3">
      <c r="A1315">
        <v>0.05</v>
      </c>
      <c r="B1315" t="s">
        <v>94</v>
      </c>
      <c r="C1315">
        <v>-0.73</v>
      </c>
      <c r="D1315">
        <v>-0.92872736424672497</v>
      </c>
      <c r="E1315">
        <v>6.5654560459624992E-2</v>
      </c>
      <c r="F1315">
        <v>482.18191875711159</v>
      </c>
    </row>
    <row r="1316" spans="1:6" x14ac:dyDescent="0.3">
      <c r="A1316">
        <v>0.05</v>
      </c>
      <c r="B1316" t="s">
        <v>94</v>
      </c>
      <c r="C1316">
        <v>-0.72</v>
      </c>
      <c r="D1316">
        <v>-0.90764498331912458</v>
      </c>
      <c r="E1316">
        <v>6.5262388799329232E-2</v>
      </c>
      <c r="F1316">
        <v>492.92476266711532</v>
      </c>
    </row>
    <row r="1317" spans="1:6" x14ac:dyDescent="0.3">
      <c r="A1317">
        <v>0.05</v>
      </c>
      <c r="B1317" t="s">
        <v>94</v>
      </c>
      <c r="C1317">
        <v>-0.71</v>
      </c>
      <c r="D1317">
        <v>-0.88718386325809284</v>
      </c>
      <c r="E1317">
        <v>6.4871585179656743E-2</v>
      </c>
      <c r="F1317">
        <v>503.82421696754977</v>
      </c>
    </row>
    <row r="1318" spans="1:6" x14ac:dyDescent="0.3">
      <c r="A1318">
        <v>0.05</v>
      </c>
      <c r="B1318" t="s">
        <v>94</v>
      </c>
      <c r="C1318">
        <v>-0.7</v>
      </c>
      <c r="D1318">
        <v>-0.86730052769405308</v>
      </c>
      <c r="E1318">
        <v>6.4481815766154138E-2</v>
      </c>
      <c r="F1318">
        <v>514.8931613370479</v>
      </c>
    </row>
    <row r="1319" spans="1:6" x14ac:dyDescent="0.3">
      <c r="A1319">
        <v>0.05</v>
      </c>
      <c r="B1319" t="s">
        <v>94</v>
      </c>
      <c r="C1319">
        <v>-0.69</v>
      </c>
      <c r="D1319">
        <v>-0.84795575521896349</v>
      </c>
      <c r="E1319">
        <v>6.4092718174593138E-2</v>
      </c>
      <c r="F1319">
        <v>526.14469197485789</v>
      </c>
    </row>
    <row r="1320" spans="1:6" x14ac:dyDescent="0.3">
      <c r="A1320">
        <v>0.05</v>
      </c>
      <c r="B1320" t="s">
        <v>94</v>
      </c>
      <c r="C1320">
        <v>-0.68</v>
      </c>
      <c r="D1320">
        <v>-0.82911403830176633</v>
      </c>
      <c r="E1320">
        <v>6.3703992529913794E-2</v>
      </c>
      <c r="F1320">
        <v>537.59210742037749</v>
      </c>
    </row>
    <row r="1321" spans="1:6" x14ac:dyDescent="0.3">
      <c r="A1321">
        <v>0.05</v>
      </c>
      <c r="B1321" t="s">
        <v>94</v>
      </c>
      <c r="C1321">
        <v>-0.67</v>
      </c>
      <c r="D1321">
        <v>-0.81074312547513749</v>
      </c>
      <c r="E1321">
        <v>6.3315336129079816E-2</v>
      </c>
      <c r="F1321">
        <v>549.24904403540802</v>
      </c>
    </row>
    <row r="1322" spans="1:6" x14ac:dyDescent="0.3">
      <c r="A1322">
        <v>0.05</v>
      </c>
      <c r="B1322" t="s">
        <v>94</v>
      </c>
      <c r="C1322">
        <v>-0.66</v>
      </c>
      <c r="D1322">
        <v>-0.79281363187019105</v>
      </c>
      <c r="E1322">
        <v>6.2926444261175232E-2</v>
      </c>
      <c r="F1322">
        <v>561.12954874234538</v>
      </c>
    </row>
    <row r="1323" spans="1:6" x14ac:dyDescent="0.3">
      <c r="A1323">
        <v>0.05</v>
      </c>
      <c r="B1323" t="s">
        <v>94</v>
      </c>
      <c r="C1323">
        <v>-0.65</v>
      </c>
      <c r="D1323">
        <v>-0.7752987062055835</v>
      </c>
      <c r="E1323">
        <v>6.2537060265322186E-2</v>
      </c>
      <c r="F1323">
        <v>573.24809378894213</v>
      </c>
    </row>
    <row r="1324" spans="1:6" x14ac:dyDescent="0.3">
      <c r="A1324">
        <v>0.05</v>
      </c>
      <c r="B1324" t="s">
        <v>94</v>
      </c>
      <c r="C1324">
        <v>-0.64</v>
      </c>
      <c r="D1324">
        <v>-0.7581737446840443</v>
      </c>
      <c r="E1324">
        <v>6.2146911231934741E-2</v>
      </c>
      <c r="F1324">
        <v>585.61971912229785</v>
      </c>
    </row>
    <row r="1325" spans="1:6" x14ac:dyDescent="0.3">
      <c r="A1325">
        <v>0.05</v>
      </c>
      <c r="B1325" t="s">
        <v>94</v>
      </c>
      <c r="C1325">
        <v>-0.63</v>
      </c>
      <c r="D1325">
        <v>-0.74141614408126888</v>
      </c>
      <c r="E1325">
        <v>6.1755727693516789E-2</v>
      </c>
      <c r="F1325">
        <v>598.2600863640256</v>
      </c>
    </row>
    <row r="1326" spans="1:6" x14ac:dyDescent="0.3">
      <c r="A1326">
        <v>0.05</v>
      </c>
      <c r="B1326" t="s">
        <v>94</v>
      </c>
      <c r="C1326">
        <v>-0.62</v>
      </c>
      <c r="D1326">
        <v>-0.72500508775299921</v>
      </c>
      <c r="E1326">
        <v>6.1363270889513426E-2</v>
      </c>
      <c r="F1326">
        <v>611.18552107903804</v>
      </c>
    </row>
    <row r="1327" spans="1:6" x14ac:dyDescent="0.3">
      <c r="A1327">
        <v>0.05</v>
      </c>
      <c r="B1327" t="s">
        <v>94</v>
      </c>
      <c r="C1327">
        <v>-0.61</v>
      </c>
      <c r="D1327">
        <v>-0.7089213594274083</v>
      </c>
      <c r="E1327">
        <v>6.0969281746190984E-2</v>
      </c>
      <c r="F1327">
        <v>624.41315649560727</v>
      </c>
    </row>
    <row r="1328" spans="1:6" x14ac:dyDescent="0.3">
      <c r="A1328">
        <v>0.05</v>
      </c>
      <c r="B1328" t="s">
        <v>94</v>
      </c>
      <c r="C1328">
        <v>-0.6</v>
      </c>
      <c r="D1328">
        <v>-0.69314718055994529</v>
      </c>
      <c r="E1328">
        <v>6.0573528037598356E-2</v>
      </c>
      <c r="F1328">
        <v>637.96095908862378</v>
      </c>
    </row>
    <row r="1329" spans="1:6" x14ac:dyDescent="0.3">
      <c r="A1329">
        <v>0.05</v>
      </c>
      <c r="B1329" t="s">
        <v>94</v>
      </c>
      <c r="C1329">
        <v>-0.59</v>
      </c>
      <c r="D1329">
        <v>-0.67766606775796179</v>
      </c>
      <c r="E1329">
        <v>6.0175746582790124E-2</v>
      </c>
      <c r="F1329">
        <v>651.84789757163082</v>
      </c>
    </row>
    <row r="1330" spans="1:6" x14ac:dyDescent="0.3">
      <c r="A1330">
        <v>0.05</v>
      </c>
      <c r="B1330" t="s">
        <v>94</v>
      </c>
      <c r="C1330">
        <v>-0.57999999999999996</v>
      </c>
      <c r="D1330">
        <v>-0.66246270737179924</v>
      </c>
      <c r="E1330">
        <v>5.9775725589424067E-2</v>
      </c>
      <c r="F1330">
        <v>666.09392683678163</v>
      </c>
    </row>
    <row r="1331" spans="1:6" x14ac:dyDescent="0.3">
      <c r="A1331">
        <v>0.05</v>
      </c>
      <c r="B1331" t="s">
        <v>94</v>
      </c>
      <c r="C1331">
        <v>-0.56999999999999995</v>
      </c>
      <c r="D1331">
        <v>-0.64752284482737277</v>
      </c>
      <c r="E1331">
        <v>5.9373213300242492E-2</v>
      </c>
      <c r="F1331">
        <v>680.72022234329199</v>
      </c>
    </row>
    <row r="1332" spans="1:6" x14ac:dyDescent="0.3">
      <c r="A1332">
        <v>0.05</v>
      </c>
      <c r="B1332" t="s">
        <v>94</v>
      </c>
      <c r="C1332">
        <v>-0.56000000000000005</v>
      </c>
      <c r="D1332">
        <v>-0.63283318666563804</v>
      </c>
      <c r="E1332">
        <v>5.8967980747195975E-2</v>
      </c>
      <c r="F1332">
        <v>695.74920609335834</v>
      </c>
    </row>
    <row r="1333" spans="1:6" x14ac:dyDescent="0.3">
      <c r="A1333">
        <v>0.05</v>
      </c>
      <c r="B1333" t="s">
        <v>94</v>
      </c>
      <c r="C1333">
        <v>-0.55000000000000004</v>
      </c>
      <c r="D1333">
        <v>-0.61838131357446346</v>
      </c>
      <c r="E1333">
        <v>5.8559769938041406E-2</v>
      </c>
      <c r="F1333">
        <v>711.2047522740063</v>
      </c>
    </row>
    <row r="1334" spans="1:6" x14ac:dyDescent="0.3">
      <c r="A1334">
        <v>0.05</v>
      </c>
      <c r="B1334" t="s">
        <v>94</v>
      </c>
      <c r="C1334">
        <v>-0.54</v>
      </c>
      <c r="D1334">
        <v>-0.60415560296226711</v>
      </c>
      <c r="E1334">
        <v>5.8148365255244125E-2</v>
      </c>
      <c r="F1334">
        <v>727.11221145647858</v>
      </c>
    </row>
    <row r="1335" spans="1:6" x14ac:dyDescent="0.3">
      <c r="A1335">
        <v>0.05</v>
      </c>
      <c r="B1335" t="s">
        <v>94</v>
      </c>
      <c r="C1335">
        <v>-0.53</v>
      </c>
      <c r="D1335">
        <v>-0.59014515984118854</v>
      </c>
      <c r="E1335">
        <v>5.7733498102341449E-2</v>
      </c>
      <c r="F1335">
        <v>743.49871911538605</v>
      </c>
    </row>
    <row r="1336" spans="1:6" x14ac:dyDescent="0.3">
      <c r="A1336">
        <v>0.05</v>
      </c>
      <c r="B1336" t="s">
        <v>94</v>
      </c>
      <c r="C1336">
        <v>-0.52</v>
      </c>
      <c r="D1336">
        <v>-0.57633975496919276</v>
      </c>
      <c r="E1336">
        <v>5.731492886851898E-2</v>
      </c>
      <c r="F1336">
        <v>760.39322870156536</v>
      </c>
    </row>
    <row r="1337" spans="1:6" x14ac:dyDescent="0.3">
      <c r="A1337">
        <v>0.05</v>
      </c>
      <c r="B1337" t="s">
        <v>94</v>
      </c>
      <c r="C1337">
        <v>-0.51</v>
      </c>
      <c r="D1337">
        <v>-0.56272976935214891</v>
      </c>
      <c r="E1337">
        <v>5.6892417713660305E-2</v>
      </c>
      <c r="F1337">
        <v>777.82674360484964</v>
      </c>
    </row>
    <row r="1338" spans="1:6" x14ac:dyDescent="0.3">
      <c r="A1338">
        <v>0.05</v>
      </c>
      <c r="B1338" t="s">
        <v>94</v>
      </c>
      <c r="C1338">
        <v>-0.5</v>
      </c>
      <c r="D1338">
        <v>-0.54930614433405489</v>
      </c>
      <c r="E1338">
        <v>5.64657089361719E-2</v>
      </c>
      <c r="F1338">
        <v>795.83255386181918</v>
      </c>
    </row>
    <row r="1339" spans="1:6" x14ac:dyDescent="0.3">
      <c r="A1339">
        <v>0.05</v>
      </c>
      <c r="B1339" t="s">
        <v>94</v>
      </c>
      <c r="C1339">
        <v>-0.49</v>
      </c>
      <c r="D1339">
        <v>-0.53606033661056662</v>
      </c>
      <c r="E1339">
        <v>5.6034515233528197E-2</v>
      </c>
      <c r="F1339">
        <v>814.44650353730663</v>
      </c>
    </row>
    <row r="1340" spans="1:6" x14ac:dyDescent="0.3">
      <c r="A1340">
        <v>0.05</v>
      </c>
      <c r="B1340" t="s">
        <v>94</v>
      </c>
      <c r="C1340">
        <v>-0.48</v>
      </c>
      <c r="D1340">
        <v>-0.5229842775913438</v>
      </c>
      <c r="E1340">
        <v>5.5598579981629051E-2</v>
      </c>
      <c r="F1340">
        <v>833.7071257369455</v>
      </c>
    </row>
    <row r="1341" spans="1:6" x14ac:dyDescent="0.3">
      <c r="A1341">
        <v>0.05</v>
      </c>
      <c r="B1341" t="s">
        <v>94</v>
      </c>
      <c r="C1341">
        <v>-0.47</v>
      </c>
      <c r="D1341">
        <v>-0.51007033661330725</v>
      </c>
      <c r="E1341">
        <v>5.5157619991980454E-2</v>
      </c>
      <c r="F1341">
        <v>853.65604507353203</v>
      </c>
    </row>
    <row r="1342" spans="1:6" x14ac:dyDescent="0.3">
      <c r="A1342">
        <v>0.05</v>
      </c>
      <c r="B1342" t="s">
        <v>94</v>
      </c>
      <c r="C1342">
        <v>-0.46</v>
      </c>
      <c r="D1342">
        <v>-0.49731128757203097</v>
      </c>
      <c r="E1342">
        <v>5.4711359941552351E-2</v>
      </c>
      <c r="F1342">
        <v>874.33823120869101</v>
      </c>
    </row>
    <row r="1343" spans="1:6" x14ac:dyDescent="0.3">
      <c r="A1343">
        <v>0.05</v>
      </c>
      <c r="B1343" t="s">
        <v>94</v>
      </c>
      <c r="C1343">
        <v>-0.45</v>
      </c>
      <c r="D1343">
        <v>-0.48470027859405168</v>
      </c>
      <c r="E1343">
        <v>5.4259488535889959E-2</v>
      </c>
      <c r="F1343">
        <v>895.80246437160326</v>
      </c>
    </row>
    <row r="1344" spans="1:6" x14ac:dyDescent="0.3">
      <c r="A1344">
        <v>0.05</v>
      </c>
      <c r="B1344" t="s">
        <v>94</v>
      </c>
      <c r="C1344">
        <v>-0.44</v>
      </c>
      <c r="D1344">
        <v>-0.47223080442042559</v>
      </c>
      <c r="E1344">
        <v>5.3801704568114388E-2</v>
      </c>
      <c r="F1344">
        <v>918.10164687553163</v>
      </c>
    </row>
    <row r="1345" spans="1:6" x14ac:dyDescent="0.3">
      <c r="A1345">
        <v>0.05</v>
      </c>
      <c r="B1345" t="s">
        <v>94</v>
      </c>
      <c r="C1345">
        <v>-0.43</v>
      </c>
      <c r="D1345">
        <v>-0.45989668121267852</v>
      </c>
      <c r="E1345">
        <v>5.3337672915196623E-2</v>
      </c>
      <c r="F1345">
        <v>941.29337894730747</v>
      </c>
    </row>
    <row r="1346" spans="1:6" x14ac:dyDescent="0.3">
      <c r="A1346">
        <v>0.05</v>
      </c>
      <c r="B1346" t="s">
        <v>94</v>
      </c>
      <c r="C1346">
        <v>-0.42</v>
      </c>
      <c r="D1346">
        <v>-0.4476920235274206</v>
      </c>
      <c r="E1346">
        <v>5.2867056807179326E-2</v>
      </c>
      <c r="F1346">
        <v>965.44041730489357</v>
      </c>
    </row>
    <row r="1347" spans="1:6" x14ac:dyDescent="0.3">
      <c r="A1347">
        <v>0.05</v>
      </c>
      <c r="B1347" t="s">
        <v>94</v>
      </c>
      <c r="C1347">
        <v>-0.41</v>
      </c>
      <c r="D1347">
        <v>-0.43561122323622431</v>
      </c>
      <c r="E1347">
        <v>5.238951141285355E-2</v>
      </c>
      <c r="F1347">
        <v>990.61129778221118</v>
      </c>
    </row>
    <row r="1348" spans="1:6" x14ac:dyDescent="0.3">
      <c r="A1348">
        <v>0.05</v>
      </c>
      <c r="B1348" t="s">
        <v>94</v>
      </c>
      <c r="C1348">
        <v>-0.4</v>
      </c>
      <c r="D1348">
        <v>-0.42364893019360178</v>
      </c>
      <c r="E1348">
        <v>5.1904665238307536E-2</v>
      </c>
      <c r="F1348">
        <v>1016.881085372631</v>
      </c>
    </row>
    <row r="1349" spans="1:6" x14ac:dyDescent="0.3">
      <c r="A1349">
        <v>0.05</v>
      </c>
      <c r="B1349" t="s">
        <v>94</v>
      </c>
      <c r="C1349">
        <v>-0.39</v>
      </c>
      <c r="D1349">
        <v>-0.41180003447869035</v>
      </c>
      <c r="E1349">
        <v>5.1412138687960469E-2</v>
      </c>
      <c r="F1349">
        <v>1044.3321246084035</v>
      </c>
    </row>
    <row r="1350" spans="1:6" x14ac:dyDescent="0.3">
      <c r="A1350">
        <v>0.05</v>
      </c>
      <c r="B1350" t="s">
        <v>94</v>
      </c>
      <c r="C1350">
        <v>-0.38</v>
      </c>
      <c r="D1350">
        <v>-0.40005965005605654</v>
      </c>
      <c r="E1350">
        <v>5.0911501272058617E-2</v>
      </c>
      <c r="F1350">
        <v>1073.0550969220524</v>
      </c>
    </row>
    <row r="1351" spans="1:6" x14ac:dyDescent="0.3">
      <c r="A1351">
        <v>0.05</v>
      </c>
      <c r="B1351" t="s">
        <v>94</v>
      </c>
      <c r="C1351">
        <v>-0.37</v>
      </c>
      <c r="D1351">
        <v>-0.38842309971829614</v>
      </c>
      <c r="E1351">
        <v>5.0402338555802256E-2</v>
      </c>
      <c r="F1351">
        <v>1103.1498818785526</v>
      </c>
    </row>
    <row r="1352" spans="1:6" x14ac:dyDescent="0.3">
      <c r="A1352">
        <v>0.05</v>
      </c>
      <c r="B1352" t="s">
        <v>94</v>
      </c>
      <c r="C1352">
        <v>-0.36</v>
      </c>
      <c r="D1352">
        <v>-0.37688590118819004</v>
      </c>
      <c r="E1352">
        <v>4.9884185131707212E-2</v>
      </c>
      <c r="F1352">
        <v>1134.7270089339022</v>
      </c>
    </row>
    <row r="1353" spans="1:6" x14ac:dyDescent="0.3">
      <c r="A1353">
        <v>0.05</v>
      </c>
      <c r="B1353" t="s">
        <v>94</v>
      </c>
      <c r="C1353">
        <v>-0.35</v>
      </c>
      <c r="D1353">
        <v>-0.36544375427139619</v>
      </c>
      <c r="E1353">
        <v>4.9356543210626838E-2</v>
      </c>
      <c r="F1353">
        <v>1167.9090530985147</v>
      </c>
    </row>
    <row r="1354" spans="1:6" x14ac:dyDescent="0.3">
      <c r="A1354">
        <v>0.05</v>
      </c>
      <c r="B1354" t="s">
        <v>94</v>
      </c>
      <c r="C1354">
        <v>-0.34</v>
      </c>
      <c r="D1354">
        <v>-0.35409252896224297</v>
      </c>
      <c r="E1354">
        <v>4.8818923911174462E-2</v>
      </c>
      <c r="F1354">
        <v>1202.832165277312</v>
      </c>
    </row>
    <row r="1355" spans="1:6" x14ac:dyDescent="0.3">
      <c r="A1355">
        <v>0.05</v>
      </c>
      <c r="B1355" t="s">
        <v>94</v>
      </c>
      <c r="C1355">
        <v>-0.33</v>
      </c>
      <c r="D1355">
        <v>-0.34282825441539394</v>
      </c>
      <c r="E1355">
        <v>4.8270746875943953E-2</v>
      </c>
      <c r="F1355">
        <v>1239.6484400566712</v>
      </c>
    </row>
    <row r="1356" spans="1:6" x14ac:dyDescent="0.3">
      <c r="A1356">
        <v>0.05</v>
      </c>
      <c r="B1356" t="s">
        <v>94</v>
      </c>
      <c r="C1356">
        <v>-0.32</v>
      </c>
      <c r="D1356">
        <v>-0.3316471087051322</v>
      </c>
      <c r="E1356">
        <v>4.7711452588462516E-2</v>
      </c>
      <c r="F1356">
        <v>1278.5278210964354</v>
      </c>
    </row>
    <row r="1357" spans="1:6" x14ac:dyDescent="0.3">
      <c r="A1357">
        <v>0.05</v>
      </c>
      <c r="B1357" t="s">
        <v>94</v>
      </c>
      <c r="C1357">
        <v>-0.31</v>
      </c>
      <c r="D1357">
        <v>-0.32054540930194608</v>
      </c>
      <c r="E1357">
        <v>4.7140380099973879E-2</v>
      </c>
      <c r="F1357">
        <v>1319.6613856734132</v>
      </c>
    </row>
    <row r="1358" spans="1:6" x14ac:dyDescent="0.3">
      <c r="A1358">
        <v>0.05</v>
      </c>
      <c r="B1358" t="s">
        <v>94</v>
      </c>
      <c r="C1358">
        <v>-0.3</v>
      </c>
      <c r="D1358">
        <v>-0.30951960420311175</v>
      </c>
      <c r="E1358">
        <v>4.6556878286454988E-2</v>
      </c>
      <c r="F1358">
        <v>1363.2641778728437</v>
      </c>
    </row>
    <row r="1359" spans="1:6" x14ac:dyDescent="0.3">
      <c r="A1359">
        <v>0.05</v>
      </c>
      <c r="B1359" t="s">
        <v>94</v>
      </c>
      <c r="C1359">
        <v>-0.28999999999999998</v>
      </c>
      <c r="D1359">
        <v>-0.29856626366017835</v>
      </c>
      <c r="E1359">
        <v>4.5960197216890257E-2</v>
      </c>
      <c r="F1359">
        <v>1409.579671937297</v>
      </c>
    </row>
    <row r="1360" spans="1:6" x14ac:dyDescent="0.3">
      <c r="A1360">
        <v>0.05</v>
      </c>
      <c r="B1360" t="s">
        <v>94</v>
      </c>
      <c r="C1360">
        <v>-0.28000000000000003</v>
      </c>
      <c r="D1360">
        <v>-0.2876820724517809</v>
      </c>
      <c r="E1360">
        <v>4.5349564270779477E-2</v>
      </c>
      <c r="F1360">
        <v>1458.8841972479113</v>
      </c>
    </row>
    <row r="1361" spans="1:6" x14ac:dyDescent="0.3">
      <c r="A1361">
        <v>0.05</v>
      </c>
      <c r="B1361" t="s">
        <v>94</v>
      </c>
      <c r="C1361">
        <v>-0.27</v>
      </c>
      <c r="D1361">
        <v>-0.27686382265510007</v>
      </c>
      <c r="E1361">
        <v>4.4724111997419956E-2</v>
      </c>
      <c r="F1361">
        <v>1511.4931091981982</v>
      </c>
    </row>
    <row r="1362" spans="1:6" x14ac:dyDescent="0.3">
      <c r="A1362">
        <v>0.05</v>
      </c>
      <c r="B1362" t="s">
        <v>94</v>
      </c>
      <c r="C1362">
        <v>-0.26</v>
      </c>
      <c r="D1362">
        <v>-0.26610840687365411</v>
      </c>
      <c r="E1362">
        <v>4.4082909042508167E-2</v>
      </c>
      <c r="F1362">
        <v>1567.7677228114831</v>
      </c>
    </row>
    <row r="1363" spans="1:6" x14ac:dyDescent="0.3">
      <c r="A1363">
        <v>0.05</v>
      </c>
      <c r="B1363" t="s">
        <v>94</v>
      </c>
      <c r="C1363">
        <v>-0.25</v>
      </c>
      <c r="D1363">
        <v>-0.25541281188299536</v>
      </c>
      <c r="E1363">
        <v>4.3424956966781475E-2</v>
      </c>
      <c r="F1363">
        <v>1628.1240168419315</v>
      </c>
    </row>
    <row r="1364" spans="1:6" x14ac:dyDescent="0.3">
      <c r="A1364">
        <v>0.05</v>
      </c>
      <c r="B1364" t="s">
        <v>94</v>
      </c>
      <c r="C1364">
        <v>-0.24</v>
      </c>
      <c r="D1364">
        <v>-0.24477411265935289</v>
      </c>
      <c r="E1364">
        <v>4.2749121872195907E-2</v>
      </c>
      <c r="F1364">
        <v>1693.0438677517743</v>
      </c>
    </row>
    <row r="1365" spans="1:6" x14ac:dyDescent="0.3">
      <c r="A1365">
        <v>0.05</v>
      </c>
      <c r="B1365" t="s">
        <v>94</v>
      </c>
      <c r="C1365">
        <v>-0.23</v>
      </c>
      <c r="D1365">
        <v>-0.23418946675936678</v>
      </c>
      <c r="E1365">
        <v>4.2054199473593852E-2</v>
      </c>
      <c r="F1365">
        <v>1763.088091845668</v>
      </c>
    </row>
    <row r="1366" spans="1:6" x14ac:dyDescent="0.3">
      <c r="A1366">
        <v>0.05</v>
      </c>
      <c r="B1366" t="s">
        <v>94</v>
      </c>
      <c r="C1366">
        <v>-0.22</v>
      </c>
      <c r="D1366">
        <v>-0.22365610902183239</v>
      </c>
      <c r="E1366">
        <v>4.1338837677915144E-2</v>
      </c>
      <c r="F1366">
        <v>1838.9139391268491</v>
      </c>
    </row>
    <row r="1367" spans="1:6" x14ac:dyDescent="0.3">
      <c r="A1367">
        <v>0.05</v>
      </c>
      <c r="B1367" t="s">
        <v>94</v>
      </c>
      <c r="C1367">
        <v>-0.21</v>
      </c>
      <c r="D1367">
        <v>-0.21317134656485975</v>
      </c>
      <c r="E1367">
        <v>4.0601537725242734E-2</v>
      </c>
      <c r="F1367">
        <v>1921.2966903124343</v>
      </c>
    </row>
    <row r="1368" spans="1:6" x14ac:dyDescent="0.3">
      <c r="A1368">
        <v>0.05</v>
      </c>
      <c r="B1368" t="s">
        <v>94</v>
      </c>
      <c r="C1368">
        <v>-0.2</v>
      </c>
      <c r="D1368">
        <v>-0.20273255405408214</v>
      </c>
      <c r="E1368">
        <v>3.9840634493707346E-2</v>
      </c>
      <c r="F1368">
        <v>2011.1575341133289</v>
      </c>
    </row>
    <row r="1369" spans="1:6" x14ac:dyDescent="0.3">
      <c r="A1369">
        <v>0.05</v>
      </c>
      <c r="B1369" t="s">
        <v>94</v>
      </c>
      <c r="C1369">
        <v>-0.19</v>
      </c>
      <c r="D1369">
        <v>-0.1923371692195453</v>
      </c>
      <c r="E1369">
        <v>3.9054267607995012E-2</v>
      </c>
      <c r="F1369">
        <v>2109.5998206163245</v>
      </c>
    </row>
    <row r="1370" spans="1:6" x14ac:dyDescent="0.3">
      <c r="A1370">
        <v>0.05</v>
      </c>
      <c r="B1370" t="s">
        <v>94</v>
      </c>
      <c r="C1370">
        <v>-0.18</v>
      </c>
      <c r="D1370">
        <v>-0.18198268860070579</v>
      </c>
      <c r="E1370">
        <v>3.8240333433443956E-2</v>
      </c>
      <c r="F1370">
        <v>2217.9568909163586</v>
      </c>
    </row>
    <row r="1371" spans="1:6" x14ac:dyDescent="0.3">
      <c r="A1371">
        <v>0.05</v>
      </c>
      <c r="B1371" t="s">
        <v>94</v>
      </c>
      <c r="C1371">
        <v>-0.17</v>
      </c>
      <c r="D1371">
        <v>-0.17166666350057908</v>
      </c>
      <c r="E1371">
        <v>3.7396429416883425E-2</v>
      </c>
      <c r="F1371">
        <v>2337.8558649732649</v>
      </c>
    </row>
    <row r="1372" spans="1:6" x14ac:dyDescent="0.3">
      <c r="A1372">
        <v>0.05</v>
      </c>
      <c r="B1372" t="s">
        <v>94</v>
      </c>
      <c r="C1372">
        <v>-0.16</v>
      </c>
      <c r="D1372">
        <v>-0.16138669613152551</v>
      </c>
      <c r="E1372">
        <v>3.6519853152906311E-2</v>
      </c>
      <c r="F1372">
        <v>2471.3030442134718</v>
      </c>
    </row>
    <row r="1373" spans="1:6" x14ac:dyDescent="0.3">
      <c r="A1373">
        <v>0.05</v>
      </c>
      <c r="B1373" t="s">
        <v>94</v>
      </c>
      <c r="C1373">
        <v>-0.15</v>
      </c>
      <c r="D1373">
        <v>-0.15114043593646675</v>
      </c>
      <c r="E1373">
        <v>3.5607448854579303E-2</v>
      </c>
      <c r="F1373">
        <v>2620.8034047692568</v>
      </c>
    </row>
    <row r="1374" spans="1:6" x14ac:dyDescent="0.3">
      <c r="A1374">
        <v>0.05</v>
      </c>
      <c r="B1374" t="s">
        <v>94</v>
      </c>
      <c r="C1374">
        <v>-0.14000000000000001</v>
      </c>
      <c r="D1374">
        <v>-0.14092557607049394</v>
      </c>
      <c r="E1374">
        <v>3.4655583453275268E-2</v>
      </c>
      <c r="F1374">
        <v>2789.525721277977</v>
      </c>
    </row>
    <row r="1375" spans="1:6" x14ac:dyDescent="0.3">
      <c r="A1375">
        <v>0.05</v>
      </c>
      <c r="B1375" t="s">
        <v>94</v>
      </c>
      <c r="C1375">
        <v>-0.13</v>
      </c>
      <c r="D1375">
        <v>-0.13073985002887836</v>
      </c>
      <c r="E1375">
        <v>3.3659953586723038E-2</v>
      </c>
      <c r="F1375">
        <v>2981.541372438383</v>
      </c>
    </row>
    <row r="1376" spans="1:6" x14ac:dyDescent="0.3">
      <c r="A1376">
        <v>0.05</v>
      </c>
      <c r="B1376" t="s">
        <v>94</v>
      </c>
      <c r="C1376">
        <v>-0.12</v>
      </c>
      <c r="D1376">
        <v>-0.12058102840844405</v>
      </c>
      <c r="E1376">
        <v>3.2615502621829745E-2</v>
      </c>
      <c r="F1376">
        <v>3202.1712031031502</v>
      </c>
    </row>
    <row r="1377" spans="1:6" x14ac:dyDescent="0.3">
      <c r="A1377">
        <v>0.05</v>
      </c>
      <c r="B1377" t="s">
        <v>94</v>
      </c>
      <c r="C1377">
        <v>-0.11</v>
      </c>
      <c r="D1377">
        <v>-0.1104469157900972</v>
      </c>
      <c r="E1377">
        <v>3.1516079982885387E-2</v>
      </c>
      <c r="F1377">
        <v>3458.5124026760936</v>
      </c>
    </row>
    <row r="1378" spans="1:6" x14ac:dyDescent="0.3">
      <c r="A1378">
        <v>0.05</v>
      </c>
      <c r="B1378" t="s">
        <v>94</v>
      </c>
      <c r="C1378">
        <v>-0.1</v>
      </c>
      <c r="D1378">
        <v>-0.10033534773107562</v>
      </c>
      <c r="E1378">
        <v>3.0354221355125898E-2</v>
      </c>
      <c r="F1378">
        <v>3760.2514914740541</v>
      </c>
    </row>
    <row r="1379" spans="1:6" x14ac:dyDescent="0.3">
      <c r="A1379">
        <v>0.05</v>
      </c>
      <c r="B1379" t="s">
        <v>94</v>
      </c>
      <c r="C1379">
        <v>-0.09</v>
      </c>
      <c r="D1379">
        <v>-9.0244187856146837E-2</v>
      </c>
      <c r="E1379">
        <v>2.9120569927472747E-2</v>
      </c>
      <c r="F1379">
        <v>4120.9813194818835</v>
      </c>
    </row>
    <row r="1380" spans="1:6" x14ac:dyDescent="0.3">
      <c r="A1380">
        <v>0.05</v>
      </c>
      <c r="B1380" t="s">
        <v>94</v>
      </c>
      <c r="C1380">
        <v>-0.08</v>
      </c>
      <c r="D1380">
        <v>-8.0171325037589683E-2</v>
      </c>
      <c r="E1380">
        <v>2.7803259442805851E-2</v>
      </c>
      <c r="F1380">
        <v>4560.4111449019147</v>
      </c>
    </row>
    <row r="1381" spans="1:6" x14ac:dyDescent="0.3">
      <c r="A1381">
        <v>0.05</v>
      </c>
      <c r="B1381" t="s">
        <v>94</v>
      </c>
      <c r="C1381">
        <v>-7.0000000000000007E-2</v>
      </c>
      <c r="D1381">
        <v>-7.0114670654325195E-2</v>
      </c>
      <c r="E1381">
        <v>2.6386680141353019E-2</v>
      </c>
      <c r="F1381">
        <v>5108.2985402497652</v>
      </c>
    </row>
    <row r="1382" spans="1:6" x14ac:dyDescent="0.3">
      <c r="A1382">
        <v>0.05</v>
      </c>
      <c r="B1382" t="s">
        <v>94</v>
      </c>
      <c r="C1382">
        <v>-0.06</v>
      </c>
      <c r="D1382">
        <v>-6.007215592103167E-2</v>
      </c>
      <c r="E1382">
        <v>2.4849758457720236E-2</v>
      </c>
      <c r="F1382">
        <v>5811.882438552173</v>
      </c>
    </row>
    <row r="1383" spans="1:6" x14ac:dyDescent="0.3">
      <c r="A1383">
        <v>0.05</v>
      </c>
      <c r="B1383" t="s">
        <v>94</v>
      </c>
      <c r="C1383">
        <v>-0.05</v>
      </c>
      <c r="D1383">
        <v>-5.0041729278491327E-2</v>
      </c>
      <c r="E1383">
        <v>2.3162505556212652E-2</v>
      </c>
      <c r="F1383">
        <v>6751.1965543910728</v>
      </c>
    </row>
    <row r="1384" spans="1:6" x14ac:dyDescent="0.3">
      <c r="A1384">
        <v>0.05</v>
      </c>
      <c r="B1384" t="s">
        <v>94</v>
      </c>
      <c r="C1384">
        <v>-0.04</v>
      </c>
      <c r="D1384">
        <v>-4.0021353836768248E-2</v>
      </c>
      <c r="E1384">
        <v>2.1279881712342564E-2</v>
      </c>
      <c r="F1384">
        <v>8074.1620552195473</v>
      </c>
    </row>
    <row r="1385" spans="1:6" x14ac:dyDescent="0.3">
      <c r="A1385">
        <v>0.05</v>
      </c>
      <c r="B1385" t="s">
        <v>94</v>
      </c>
      <c r="C1385">
        <v>-0.03</v>
      </c>
      <c r="D1385">
        <v>-3.000900486312652E-2</v>
      </c>
      <c r="E1385">
        <v>1.9127929249359146E-2</v>
      </c>
      <c r="F1385">
        <v>10090.296239975651</v>
      </c>
    </row>
    <row r="1386" spans="1:6" x14ac:dyDescent="0.3">
      <c r="A1386">
        <v>0.05</v>
      </c>
      <c r="B1386" t="s">
        <v>94</v>
      </c>
      <c r="C1386">
        <v>-0.02</v>
      </c>
      <c r="D1386">
        <v>-2.0002667306849624E-2</v>
      </c>
      <c r="E1386">
        <v>1.6568130442514439E-2</v>
      </c>
      <c r="F1386">
        <v>13585.242619628538</v>
      </c>
    </row>
    <row r="1387" spans="1:6" x14ac:dyDescent="0.3">
      <c r="A1387">
        <v>0.05</v>
      </c>
      <c r="B1387" t="s">
        <v>94</v>
      </c>
      <c r="C1387">
        <v>-0.01</v>
      </c>
      <c r="D1387">
        <v>-1.0000333353334771E-2</v>
      </c>
      <c r="E1387">
        <v>1.3269667518289011E-2</v>
      </c>
      <c r="F1387">
        <v>21407.056548935288</v>
      </c>
    </row>
    <row r="1388" spans="1:6" x14ac:dyDescent="0.3">
      <c r="A1388">
        <v>0.01</v>
      </c>
      <c r="B1388" t="s">
        <v>94</v>
      </c>
      <c r="C1388">
        <v>-0.99</v>
      </c>
      <c r="D1388">
        <v>-2.6466524123622457</v>
      </c>
      <c r="E1388">
        <v>0.10706261030235968</v>
      </c>
      <c r="F1388">
        <v>169.8399664967543</v>
      </c>
    </row>
    <row r="1389" spans="1:6" x14ac:dyDescent="0.3">
      <c r="A1389">
        <v>0.01</v>
      </c>
      <c r="B1389" t="s">
        <v>94</v>
      </c>
      <c r="C1389">
        <v>-0.98</v>
      </c>
      <c r="D1389">
        <v>-2.2975599250672945</v>
      </c>
      <c r="E1389">
        <v>0.10484213424826792</v>
      </c>
      <c r="F1389">
        <v>194.61844973959455</v>
      </c>
    </row>
    <row r="1390" spans="1:6" x14ac:dyDescent="0.3">
      <c r="A1390">
        <v>0.01</v>
      </c>
      <c r="B1390" t="s">
        <v>94</v>
      </c>
      <c r="C1390">
        <v>-0.97</v>
      </c>
      <c r="D1390">
        <v>-2.0922957200349388</v>
      </c>
      <c r="E1390">
        <v>0.10328457743892797</v>
      </c>
      <c r="F1390">
        <v>212.96101677223791</v>
      </c>
    </row>
    <row r="1391" spans="1:6" x14ac:dyDescent="0.3">
      <c r="A1391">
        <v>0.01</v>
      </c>
      <c r="B1391" t="s">
        <v>94</v>
      </c>
      <c r="C1391">
        <v>-0.96</v>
      </c>
      <c r="D1391">
        <v>-1.9459101490553128</v>
      </c>
      <c r="E1391">
        <v>0.10203005919945919</v>
      </c>
      <c r="F1391">
        <v>228.34990587965152</v>
      </c>
    </row>
    <row r="1392" spans="1:6" x14ac:dyDescent="0.3">
      <c r="A1392">
        <v>0.01</v>
      </c>
      <c r="B1392" t="s">
        <v>94</v>
      </c>
      <c r="C1392">
        <v>-0.95</v>
      </c>
      <c r="D1392">
        <v>-1.8317808230648227</v>
      </c>
      <c r="E1392">
        <v>0.10095378499725395</v>
      </c>
      <c r="F1392">
        <v>242.0118934186531</v>
      </c>
    </row>
    <row r="1393" spans="1:6" x14ac:dyDescent="0.3">
      <c r="A1393">
        <v>0.01</v>
      </c>
      <c r="B1393" t="s">
        <v>94</v>
      </c>
      <c r="C1393">
        <v>-0.94</v>
      </c>
      <c r="D1393">
        <v>-1.7380493449176362</v>
      </c>
      <c r="E1393">
        <v>9.9996241191667307E-2</v>
      </c>
      <c r="F1393">
        <v>254.53949917816831</v>
      </c>
    </row>
    <row r="1394" spans="1:6" x14ac:dyDescent="0.3">
      <c r="A1394">
        <v>0.01</v>
      </c>
      <c r="B1394" t="s">
        <v>94</v>
      </c>
      <c r="C1394">
        <v>-0.93</v>
      </c>
      <c r="D1394">
        <v>-1.6583900199247865</v>
      </c>
      <c r="E1394">
        <v>9.9123904321391343E-2</v>
      </c>
      <c r="F1394">
        <v>266.26987377103677</v>
      </c>
    </row>
    <row r="1395" spans="1:6" x14ac:dyDescent="0.3">
      <c r="A1395">
        <v>0.01</v>
      </c>
      <c r="B1395" t="s">
        <v>94</v>
      </c>
      <c r="C1395">
        <v>-0.92</v>
      </c>
      <c r="D1395">
        <v>-1.5890269151739731</v>
      </c>
      <c r="E1395">
        <v>9.8315835087636749E-2</v>
      </c>
      <c r="F1395">
        <v>277.4157305560164</v>
      </c>
    </row>
    <row r="1396" spans="1:6" x14ac:dyDescent="0.3">
      <c r="A1396">
        <v>0.01</v>
      </c>
      <c r="B1396" t="s">
        <v>94</v>
      </c>
      <c r="C1396">
        <v>-0.91</v>
      </c>
      <c r="D1396">
        <v>-1.5275244253552054</v>
      </c>
      <c r="E1396">
        <v>9.7558000158790931E-2</v>
      </c>
      <c r="F1396">
        <v>288.12130475816991</v>
      </c>
    </row>
    <row r="1397" spans="1:6" x14ac:dyDescent="0.3">
      <c r="A1397">
        <v>0.01</v>
      </c>
      <c r="B1397" t="s">
        <v>94</v>
      </c>
      <c r="C1397">
        <v>-0.9</v>
      </c>
      <c r="D1397">
        <v>-1.4722194895832204</v>
      </c>
      <c r="E1397">
        <v>9.684049402663944E-2</v>
      </c>
      <c r="F1397">
        <v>298.48980846601654</v>
      </c>
    </row>
    <row r="1398" spans="1:6" x14ac:dyDescent="0.3">
      <c r="A1398">
        <v>0.01</v>
      </c>
      <c r="B1398" t="s">
        <v>94</v>
      </c>
      <c r="C1398">
        <v>-0.89</v>
      </c>
      <c r="D1398">
        <v>-1.421925871130636</v>
      </c>
      <c r="E1398">
        <v>9.6155994575237477E-2</v>
      </c>
      <c r="F1398">
        <v>308.59830683889527</v>
      </c>
    </row>
    <row r="1399" spans="1:6" x14ac:dyDescent="0.3">
      <c r="A1399">
        <v>0.01</v>
      </c>
      <c r="B1399" t="s">
        <v>94</v>
      </c>
      <c r="C1399">
        <v>-0.88</v>
      </c>
      <c r="D1399">
        <v>-1.3757676565209744</v>
      </c>
      <c r="E1399">
        <v>9.5498966907093655E-2</v>
      </c>
      <c r="F1399">
        <v>318.50633706366841</v>
      </c>
    </row>
    <row r="1400" spans="1:6" x14ac:dyDescent="0.3">
      <c r="A1400">
        <v>0.01</v>
      </c>
      <c r="B1400" t="s">
        <v>94</v>
      </c>
      <c r="C1400">
        <v>-0.87</v>
      </c>
      <c r="D1400">
        <v>-1.333079629696525</v>
      </c>
      <c r="E1400">
        <v>9.4865072387656554E-2</v>
      </c>
      <c r="F1400">
        <v>328.26127031804936</v>
      </c>
    </row>
    <row r="1401" spans="1:6" x14ac:dyDescent="0.3">
      <c r="A1401">
        <v>0.01</v>
      </c>
      <c r="B1401" t="s">
        <v>94</v>
      </c>
      <c r="C1401">
        <v>-0.86</v>
      </c>
      <c r="D1401">
        <v>-1.2933446720489712</v>
      </c>
      <c r="E1401">
        <v>9.4250855695824545E-2</v>
      </c>
      <c r="F1401">
        <v>337.90174602691036</v>
      </c>
    </row>
    <row r="1402" spans="1:6" x14ac:dyDescent="0.3">
      <c r="A1402">
        <v>0.01</v>
      </c>
      <c r="B1402" t="s">
        <v>94</v>
      </c>
      <c r="C1402">
        <v>-0.85</v>
      </c>
      <c r="D1402">
        <v>-1.2561528119880574</v>
      </c>
      <c r="E1402">
        <v>9.3653522474986595E-2</v>
      </c>
      <c r="F1402">
        <v>347.45998247060334</v>
      </c>
    </row>
    <row r="1403" spans="1:6" x14ac:dyDescent="0.3">
      <c r="A1403">
        <v>0.01</v>
      </c>
      <c r="B1403" t="s">
        <v>94</v>
      </c>
      <c r="C1403">
        <v>-0.84</v>
      </c>
      <c r="D1403">
        <v>-1.2211735176846021</v>
      </c>
      <c r="E1403">
        <v>9.3070712880063106E-2</v>
      </c>
      <c r="F1403">
        <v>356.96342098537281</v>
      </c>
    </row>
    <row r="1404" spans="1:6" x14ac:dyDescent="0.3">
      <c r="A1404">
        <v>0.01</v>
      </c>
      <c r="B1404" t="s">
        <v>94</v>
      </c>
      <c r="C1404">
        <v>-0.83</v>
      </c>
      <c r="D1404">
        <v>-1.1881364043926024</v>
      </c>
      <c r="E1404">
        <v>9.2500511850535344E-2</v>
      </c>
      <c r="F1404">
        <v>366.43580353009162</v>
      </c>
    </row>
    <row r="1405" spans="1:6" x14ac:dyDescent="0.3">
      <c r="A1405">
        <v>0.01</v>
      </c>
      <c r="B1405" t="s">
        <v>94</v>
      </c>
      <c r="C1405">
        <v>-0.82</v>
      </c>
      <c r="D1405">
        <v>-1.1568174645903151</v>
      </c>
      <c r="E1405">
        <v>9.1941252193577752E-2</v>
      </c>
      <c r="F1405">
        <v>375.89807502851318</v>
      </c>
    </row>
    <row r="1406" spans="1:6" x14ac:dyDescent="0.3">
      <c r="A1406">
        <v>0.01</v>
      </c>
      <c r="B1406" t="s">
        <v>94</v>
      </c>
      <c r="C1406">
        <v>-0.81</v>
      </c>
      <c r="D1406">
        <v>-1.1270290260496929</v>
      </c>
      <c r="E1406">
        <v>9.1391534843635283E-2</v>
      </c>
      <c r="F1406">
        <v>385.36896205230255</v>
      </c>
    </row>
    <row r="1407" spans="1:6" x14ac:dyDescent="0.3">
      <c r="A1407">
        <v>0.01</v>
      </c>
      <c r="B1407" t="s">
        <v>94</v>
      </c>
      <c r="C1407">
        <v>-0.8</v>
      </c>
      <c r="D1407">
        <v>-1.0986122886681098</v>
      </c>
      <c r="E1407">
        <v>9.0850086694495888E-2</v>
      </c>
      <c r="F1407">
        <v>394.86551126286696</v>
      </c>
    </row>
    <row r="1408" spans="1:6" x14ac:dyDescent="0.3">
      <c r="A1408">
        <v>0.01</v>
      </c>
      <c r="B1408" t="s">
        <v>94</v>
      </c>
      <c r="C1408">
        <v>-0.79</v>
      </c>
      <c r="D1408">
        <v>-1.0714316840586662</v>
      </c>
      <c r="E1408">
        <v>9.0315870393940248E-2</v>
      </c>
      <c r="F1408">
        <v>404.40336614262657</v>
      </c>
    </row>
    <row r="1409" spans="1:6" x14ac:dyDescent="0.3">
      <c r="A1409">
        <v>0.01</v>
      </c>
      <c r="B1409" t="s">
        <v>94</v>
      </c>
      <c r="C1409">
        <v>-0.78</v>
      </c>
      <c r="D1409">
        <v>-1.0453705484668847</v>
      </c>
      <c r="E1409">
        <v>8.9787920168205124E-2</v>
      </c>
      <c r="F1409">
        <v>413.9971491638675</v>
      </c>
    </row>
    <row r="1410" spans="1:6" x14ac:dyDescent="0.3">
      <c r="A1410">
        <v>0.01</v>
      </c>
      <c r="B1410" t="s">
        <v>94</v>
      </c>
      <c r="C1410">
        <v>-0.77</v>
      </c>
      <c r="D1410">
        <v>-1.0203277583223398</v>
      </c>
      <c r="E1410">
        <v>8.9265385708897221E-2</v>
      </c>
      <c r="F1410">
        <v>423.66065491329147</v>
      </c>
    </row>
    <row r="1411" spans="1:6" x14ac:dyDescent="0.3">
      <c r="A1411">
        <v>0.01</v>
      </c>
      <c r="B1411" t="s">
        <v>94</v>
      </c>
      <c r="C1411">
        <v>-0.76</v>
      </c>
      <c r="D1411">
        <v>-0.99621508234510314</v>
      </c>
      <c r="E1411">
        <v>8.8747495487140074E-2</v>
      </c>
      <c r="F1411">
        <v>433.40705639807419</v>
      </c>
    </row>
    <row r="1412" spans="1:6" x14ac:dyDescent="0.3">
      <c r="A1412">
        <v>0.01</v>
      </c>
      <c r="B1412" t="s">
        <v>94</v>
      </c>
      <c r="C1412">
        <v>-0.75</v>
      </c>
      <c r="D1412">
        <v>-0.97295507452765673</v>
      </c>
      <c r="E1412">
        <v>8.8233557173517815E-2</v>
      </c>
      <c r="F1412">
        <v>443.24905474450298</v>
      </c>
    </row>
    <row r="1413" spans="1:6" x14ac:dyDescent="0.3">
      <c r="A1413">
        <v>0.01</v>
      </c>
      <c r="B1413" t="s">
        <v>94</v>
      </c>
      <c r="C1413">
        <v>-0.74</v>
      </c>
      <c r="D1413">
        <v>-0.95047938059652348</v>
      </c>
      <c r="E1413">
        <v>8.7722965465342168E-2</v>
      </c>
      <c r="F1413">
        <v>453.19899788202861</v>
      </c>
    </row>
    <row r="1414" spans="1:6" x14ac:dyDescent="0.3">
      <c r="A1414">
        <v>0.01</v>
      </c>
      <c r="B1414" t="s">
        <v>94</v>
      </c>
      <c r="C1414">
        <v>-0.73</v>
      </c>
      <c r="D1414">
        <v>-0.92872736424672497</v>
      </c>
      <c r="E1414">
        <v>8.7215136578327038E-2</v>
      </c>
      <c r="F1414">
        <v>463.2690417199077</v>
      </c>
    </row>
    <row r="1415" spans="1:6" x14ac:dyDescent="0.3">
      <c r="A1415">
        <v>0.01</v>
      </c>
      <c r="B1415" t="s">
        <v>94</v>
      </c>
      <c r="C1415">
        <v>-0.72</v>
      </c>
      <c r="D1415">
        <v>-0.90764498331912458</v>
      </c>
      <c r="E1415">
        <v>8.6709529137443106E-2</v>
      </c>
      <c r="F1415">
        <v>473.47123103728165</v>
      </c>
    </row>
    <row r="1416" spans="1:6" x14ac:dyDescent="0.3">
      <c r="A1416">
        <v>0.01</v>
      </c>
      <c r="B1416" t="s">
        <v>94</v>
      </c>
      <c r="C1416">
        <v>-0.71</v>
      </c>
      <c r="D1416">
        <v>-0.88718386325809284</v>
      </c>
      <c r="E1416">
        <v>8.6205644451713845E-2</v>
      </c>
      <c r="F1416">
        <v>483.81758468365155</v>
      </c>
    </row>
    <row r="1417" spans="1:6" x14ac:dyDescent="0.3">
      <c r="A1417">
        <v>0.01</v>
      </c>
      <c r="B1417" t="s">
        <v>94</v>
      </c>
      <c r="C1417">
        <v>-0.7</v>
      </c>
      <c r="D1417">
        <v>-0.86730052769405308</v>
      </c>
      <c r="E1417">
        <v>8.5703045547437434E-2</v>
      </c>
      <c r="F1417">
        <v>494.32015445586433</v>
      </c>
    </row>
    <row r="1418" spans="1:6" x14ac:dyDescent="0.3">
      <c r="A1418">
        <v>0.01</v>
      </c>
      <c r="B1418" t="s">
        <v>94</v>
      </c>
      <c r="C1418">
        <v>-0.69</v>
      </c>
      <c r="D1418">
        <v>-0.84795575521896349</v>
      </c>
      <c r="E1418">
        <v>8.5201275614069108E-2</v>
      </c>
      <c r="F1418">
        <v>504.99117247862608</v>
      </c>
    </row>
    <row r="1419" spans="1:6" x14ac:dyDescent="0.3">
      <c r="A1419">
        <v>0.01</v>
      </c>
      <c r="B1419" t="s">
        <v>94</v>
      </c>
      <c r="C1419">
        <v>-0.68</v>
      </c>
      <c r="D1419">
        <v>-0.82911403830176633</v>
      </c>
      <c r="E1419">
        <v>8.4699930920708807E-2</v>
      </c>
      <c r="F1419">
        <v>515.84305319490807</v>
      </c>
    </row>
    <row r="1420" spans="1:6" x14ac:dyDescent="0.3">
      <c r="A1420">
        <v>0.01</v>
      </c>
      <c r="B1420" t="s">
        <v>94</v>
      </c>
      <c r="C1420">
        <v>-0.67</v>
      </c>
      <c r="D1420">
        <v>-0.81074312547513749</v>
      </c>
      <c r="E1420">
        <v>8.4198624117342982E-2</v>
      </c>
      <c r="F1420">
        <v>526.88849290436326</v>
      </c>
    </row>
    <row r="1421" spans="1:6" x14ac:dyDescent="0.3">
      <c r="A1421">
        <v>0.01</v>
      </c>
      <c r="B1421" t="s">
        <v>94</v>
      </c>
      <c r="C1421">
        <v>-0.66</v>
      </c>
      <c r="D1421">
        <v>-0.79281363187019105</v>
      </c>
      <c r="E1421">
        <v>8.3696997450500327E-2</v>
      </c>
      <c r="F1421">
        <v>538.14052075040252</v>
      </c>
    </row>
    <row r="1422" spans="1:6" x14ac:dyDescent="0.3">
      <c r="A1422">
        <v>0.01</v>
      </c>
      <c r="B1422" t="s">
        <v>94</v>
      </c>
      <c r="C1422">
        <v>-0.65</v>
      </c>
      <c r="D1422">
        <v>-0.7752987062055835</v>
      </c>
      <c r="E1422">
        <v>8.3194665770000495E-2</v>
      </c>
      <c r="F1422">
        <v>549.61262461517276</v>
      </c>
    </row>
    <row r="1423" spans="1:6" x14ac:dyDescent="0.3">
      <c r="A1423">
        <v>0.01</v>
      </c>
      <c r="B1423" t="s">
        <v>94</v>
      </c>
      <c r="C1423">
        <v>-0.64</v>
      </c>
      <c r="D1423">
        <v>-0.7581737446840443</v>
      </c>
      <c r="E1423">
        <v>8.2691316494908962E-2</v>
      </c>
      <c r="F1423">
        <v>561.3187087276641</v>
      </c>
    </row>
    <row r="1424" spans="1:6" x14ac:dyDescent="0.3">
      <c r="A1424">
        <v>0.01</v>
      </c>
      <c r="B1424" t="s">
        <v>94</v>
      </c>
      <c r="C1424">
        <v>-0.63</v>
      </c>
      <c r="D1424">
        <v>-0.74141614408126888</v>
      </c>
      <c r="E1424">
        <v>8.2186578121605361E-2</v>
      </c>
      <c r="F1424">
        <v>573.27330619452323</v>
      </c>
    </row>
    <row r="1425" spans="1:6" x14ac:dyDescent="0.3">
      <c r="A1425">
        <v>0.01</v>
      </c>
      <c r="B1425" t="s">
        <v>94</v>
      </c>
      <c r="C1425">
        <v>-0.62</v>
      </c>
      <c r="D1425">
        <v>-0.72500508775299921</v>
      </c>
      <c r="E1425">
        <v>8.1680150709184829E-2</v>
      </c>
      <c r="F1425">
        <v>585.49150111030235</v>
      </c>
    </row>
    <row r="1426" spans="1:6" x14ac:dyDescent="0.3">
      <c r="A1426">
        <v>0.01</v>
      </c>
      <c r="B1426" t="s">
        <v>94</v>
      </c>
      <c r="C1426">
        <v>-0.61</v>
      </c>
      <c r="D1426">
        <v>-0.7089213594274083</v>
      </c>
      <c r="E1426">
        <v>8.1171709175298437E-2</v>
      </c>
      <c r="F1426">
        <v>597.98911212915118</v>
      </c>
    </row>
    <row r="1427" spans="1:6" x14ac:dyDescent="0.3">
      <c r="A1427">
        <v>0.01</v>
      </c>
      <c r="B1427" t="s">
        <v>94</v>
      </c>
      <c r="C1427">
        <v>-0.6</v>
      </c>
      <c r="D1427">
        <v>-0.69314718055994529</v>
      </c>
      <c r="E1427">
        <v>8.0660935671699616E-2</v>
      </c>
      <c r="F1427">
        <v>610.78273347809386</v>
      </c>
    </row>
    <row r="1428" spans="1:6" x14ac:dyDescent="0.3">
      <c r="A1428">
        <v>0.01</v>
      </c>
      <c r="B1428" t="s">
        <v>94</v>
      </c>
      <c r="C1428">
        <v>-0.59</v>
      </c>
      <c r="D1428">
        <v>-0.67766606775796179</v>
      </c>
      <c r="E1428">
        <v>8.0147518572452989E-2</v>
      </c>
      <c r="F1428">
        <v>623.88981829172712</v>
      </c>
    </row>
    <row r="1429" spans="1:6" x14ac:dyDescent="0.3">
      <c r="A1429">
        <v>0.01</v>
      </c>
      <c r="B1429" t="s">
        <v>94</v>
      </c>
      <c r="C1429">
        <v>-0.57999999999999996</v>
      </c>
      <c r="D1429">
        <v>-0.66246270737179924</v>
      </c>
      <c r="E1429">
        <v>7.9631148534151139E-2</v>
      </c>
      <c r="F1429">
        <v>637.32877206186174</v>
      </c>
    </row>
    <row r="1430" spans="1:6" x14ac:dyDescent="0.3">
      <c r="A1430">
        <v>0.01</v>
      </c>
      <c r="B1430" t="s">
        <v>94</v>
      </c>
      <c r="C1430">
        <v>-0.56999999999999995</v>
      </c>
      <c r="D1430">
        <v>-0.64752284482737277</v>
      </c>
      <c r="E1430">
        <v>7.9111526130001372E-2</v>
      </c>
      <c r="F1430">
        <v>651.11903706329088</v>
      </c>
    </row>
    <row r="1431" spans="1:6" x14ac:dyDescent="0.3">
      <c r="A1431">
        <v>0.01</v>
      </c>
      <c r="B1431" t="s">
        <v>94</v>
      </c>
      <c r="C1431">
        <v>-0.56000000000000005</v>
      </c>
      <c r="D1431">
        <v>-0.63283318666563804</v>
      </c>
      <c r="E1431">
        <v>7.8588339300965052E-2</v>
      </c>
      <c r="F1431">
        <v>665.28122790547172</v>
      </c>
    </row>
    <row r="1432" spans="1:6" x14ac:dyDescent="0.3">
      <c r="A1432">
        <v>0.01</v>
      </c>
      <c r="B1432" t="s">
        <v>94</v>
      </c>
      <c r="C1432">
        <v>-0.55000000000000004</v>
      </c>
      <c r="D1432">
        <v>-0.61838131357446346</v>
      </c>
      <c r="E1432">
        <v>7.8061267413383276E-2</v>
      </c>
      <c r="F1432">
        <v>679.83724152049774</v>
      </c>
    </row>
    <row r="1433" spans="1:6" x14ac:dyDescent="0.3">
      <c r="A1433">
        <v>0.01</v>
      </c>
      <c r="B1433" t="s">
        <v>94</v>
      </c>
      <c r="C1433">
        <v>-0.54</v>
      </c>
      <c r="D1433">
        <v>-0.60415560296226711</v>
      </c>
      <c r="E1433">
        <v>7.7530010726988077E-2</v>
      </c>
      <c r="F1433">
        <v>694.81033555301246</v>
      </c>
    </row>
    <row r="1434" spans="1:6" x14ac:dyDescent="0.3">
      <c r="A1434">
        <v>0.01</v>
      </c>
      <c r="B1434" t="s">
        <v>94</v>
      </c>
      <c r="C1434">
        <v>-0.53</v>
      </c>
      <c r="D1434">
        <v>-0.59014515984118854</v>
      </c>
      <c r="E1434">
        <v>7.699424959812079E-2</v>
      </c>
      <c r="F1434">
        <v>710.22532660700233</v>
      </c>
    </row>
    <row r="1435" spans="1:6" x14ac:dyDescent="0.3">
      <c r="A1435">
        <v>0.01</v>
      </c>
      <c r="B1435" t="s">
        <v>94</v>
      </c>
      <c r="C1435">
        <v>-0.52</v>
      </c>
      <c r="D1435">
        <v>-0.57633975496919276</v>
      </c>
      <c r="E1435">
        <v>7.6453671341081914E-2</v>
      </c>
      <c r="F1435">
        <v>726.10869863241533</v>
      </c>
    </row>
    <row r="1436" spans="1:6" x14ac:dyDescent="0.3">
      <c r="A1436">
        <v>0.01</v>
      </c>
      <c r="B1436" t="s">
        <v>94</v>
      </c>
      <c r="C1436">
        <v>-0.51</v>
      </c>
      <c r="D1436">
        <v>-0.56272976935214891</v>
      </c>
      <c r="E1436">
        <v>7.5907941632503334E-2</v>
      </c>
      <c r="F1436">
        <v>742.48881735595171</v>
      </c>
    </row>
    <row r="1437" spans="1:6" x14ac:dyDescent="0.3">
      <c r="A1437">
        <v>0.01</v>
      </c>
      <c r="B1437" t="s">
        <v>94</v>
      </c>
      <c r="C1437">
        <v>-0.5</v>
      </c>
      <c r="D1437">
        <v>-0.54930614433405489</v>
      </c>
      <c r="E1437">
        <v>7.5356729094491162E-2</v>
      </c>
      <c r="F1437">
        <v>759.39607423324969</v>
      </c>
    </row>
    <row r="1438" spans="1:6" x14ac:dyDescent="0.3">
      <c r="A1438">
        <v>0.01</v>
      </c>
      <c r="B1438" t="s">
        <v>94</v>
      </c>
      <c r="C1438">
        <v>-0.49</v>
      </c>
      <c r="D1438">
        <v>-0.53606033661056662</v>
      </c>
      <c r="E1438">
        <v>7.4799688693799701E-2</v>
      </c>
      <c r="F1438">
        <v>776.86312124477388</v>
      </c>
    </row>
    <row r="1439" spans="1:6" x14ac:dyDescent="0.3">
      <c r="A1439">
        <v>0.01</v>
      </c>
      <c r="B1439" t="s">
        <v>94</v>
      </c>
      <c r="C1439">
        <v>-0.48</v>
      </c>
      <c r="D1439">
        <v>-0.5229842775913438</v>
      </c>
      <c r="E1439">
        <v>7.4236471205814183E-2</v>
      </c>
      <c r="F1439">
        <v>794.92508361993328</v>
      </c>
    </row>
    <row r="1440" spans="1:6" x14ac:dyDescent="0.3">
      <c r="A1440">
        <v>0.01</v>
      </c>
      <c r="B1440" t="s">
        <v>94</v>
      </c>
      <c r="C1440">
        <v>-0.47</v>
      </c>
      <c r="D1440">
        <v>-0.51007033661330725</v>
      </c>
      <c r="E1440">
        <v>7.3666731672048527E-2</v>
      </c>
      <c r="F1440">
        <v>813.6197975547185</v>
      </c>
    </row>
    <row r="1441" spans="1:6" x14ac:dyDescent="0.3">
      <c r="A1441">
        <v>0.01</v>
      </c>
      <c r="B1441" t="s">
        <v>94</v>
      </c>
      <c r="C1441">
        <v>-0.46</v>
      </c>
      <c r="D1441">
        <v>-0.49731128757203097</v>
      </c>
      <c r="E1441">
        <v>7.3090060107586646E-2</v>
      </c>
      <c r="F1441">
        <v>832.98824376749519</v>
      </c>
    </row>
    <row r="1442" spans="1:6" x14ac:dyDescent="0.3">
      <c r="A1442">
        <v>0.01</v>
      </c>
      <c r="B1442" t="s">
        <v>94</v>
      </c>
      <c r="C1442">
        <v>-0.45</v>
      </c>
      <c r="D1442">
        <v>-0.48470027859405168</v>
      </c>
      <c r="E1442">
        <v>7.2506105574832322E-2</v>
      </c>
      <c r="F1442">
        <v>853.07461423333052</v>
      </c>
    </row>
    <row r="1443" spans="1:6" x14ac:dyDescent="0.3">
      <c r="A1443">
        <v>0.01</v>
      </c>
      <c r="B1443" t="s">
        <v>94</v>
      </c>
      <c r="C1443">
        <v>-0.44</v>
      </c>
      <c r="D1443">
        <v>-0.47223080442042559</v>
      </c>
      <c r="E1443">
        <v>7.1914441976057869E-2</v>
      </c>
      <c r="F1443">
        <v>873.92696409976531</v>
      </c>
    </row>
    <row r="1444" spans="1:6" x14ac:dyDescent="0.3">
      <c r="A1444">
        <v>0.01</v>
      </c>
      <c r="B1444" t="s">
        <v>94</v>
      </c>
      <c r="C1444">
        <v>-0.43</v>
      </c>
      <c r="D1444">
        <v>-0.45989668121267852</v>
      </c>
      <c r="E1444">
        <v>7.1314664945747008E-2</v>
      </c>
      <c r="F1444">
        <v>895.59741727821824</v>
      </c>
    </row>
    <row r="1445" spans="1:6" x14ac:dyDescent="0.3">
      <c r="A1445">
        <v>0.01</v>
      </c>
      <c r="B1445" t="s">
        <v>94</v>
      </c>
      <c r="C1445">
        <v>-0.42</v>
      </c>
      <c r="D1445">
        <v>-0.4476920235274206</v>
      </c>
      <c r="E1445">
        <v>7.0706322540692854E-2</v>
      </c>
      <c r="F1445">
        <v>918.14279757837994</v>
      </c>
    </row>
    <row r="1446" spans="1:6" x14ac:dyDescent="0.3">
      <c r="A1446">
        <v>0.01</v>
      </c>
      <c r="B1446" t="s">
        <v>94</v>
      </c>
      <c r="C1446">
        <v>-0.41</v>
      </c>
      <c r="D1446">
        <v>-0.43561122323622431</v>
      </c>
      <c r="E1446">
        <v>7.0088972213250889E-2</v>
      </c>
      <c r="F1446">
        <v>941.62502978428927</v>
      </c>
    </row>
    <row r="1447" spans="1:6" x14ac:dyDescent="0.3">
      <c r="A1447">
        <v>0.01</v>
      </c>
      <c r="B1447" t="s">
        <v>94</v>
      </c>
      <c r="C1447">
        <v>-0.4</v>
      </c>
      <c r="D1447">
        <v>-0.42364893019360178</v>
      </c>
      <c r="E1447">
        <v>6.946212478727723E-2</v>
      </c>
      <c r="F1447">
        <v>966.11189408154996</v>
      </c>
    </row>
    <row r="1448" spans="1:6" x14ac:dyDescent="0.3">
      <c r="A1448">
        <v>0.01</v>
      </c>
      <c r="B1448" t="s">
        <v>94</v>
      </c>
      <c r="C1448">
        <v>-0.39</v>
      </c>
      <c r="D1448">
        <v>-0.41180003447869035</v>
      </c>
      <c r="E1448">
        <v>6.8825275912144282E-2</v>
      </c>
      <c r="F1448">
        <v>991.67765308766423</v>
      </c>
    </row>
    <row r="1449" spans="1:6" x14ac:dyDescent="0.3">
      <c r="A1449">
        <v>0.01</v>
      </c>
      <c r="B1449" t="s">
        <v>94</v>
      </c>
      <c r="C1449">
        <v>-0.38</v>
      </c>
      <c r="D1449">
        <v>-0.40005965005605654</v>
      </c>
      <c r="E1449">
        <v>6.8177899802499234E-2</v>
      </c>
      <c r="F1449">
        <v>1018.4038756450381</v>
      </c>
    </row>
    <row r="1450" spans="1:6" x14ac:dyDescent="0.3">
      <c r="A1450">
        <v>0.01</v>
      </c>
      <c r="B1450" t="s">
        <v>94</v>
      </c>
      <c r="C1450">
        <v>-0.37</v>
      </c>
      <c r="D1450">
        <v>-0.38842309971829614</v>
      </c>
      <c r="E1450">
        <v>6.751944316302505E-2</v>
      </c>
      <c r="F1450">
        <v>1046.3803873138568</v>
      </c>
    </row>
    <row r="1451" spans="1:6" x14ac:dyDescent="0.3">
      <c r="A1451">
        <v>0.01</v>
      </c>
      <c r="B1451" t="s">
        <v>94</v>
      </c>
      <c r="C1451">
        <v>-0.36</v>
      </c>
      <c r="D1451">
        <v>-0.37688590118819004</v>
      </c>
      <c r="E1451">
        <v>6.6849283579626967E-2</v>
      </c>
      <c r="F1451">
        <v>1075.706490430327</v>
      </c>
    </row>
    <row r="1452" spans="1:6" x14ac:dyDescent="0.3">
      <c r="A1452">
        <v>0.01</v>
      </c>
      <c r="B1452" t="s">
        <v>94</v>
      </c>
      <c r="C1452">
        <v>-0.35</v>
      </c>
      <c r="D1452">
        <v>-0.36544375427139619</v>
      </c>
      <c r="E1452">
        <v>6.6166819790800094E-2</v>
      </c>
      <c r="F1452">
        <v>1106.4919356380301</v>
      </c>
    </row>
    <row r="1453" spans="1:6" x14ac:dyDescent="0.3">
      <c r="A1453">
        <v>0.01</v>
      </c>
      <c r="B1453" t="s">
        <v>94</v>
      </c>
      <c r="C1453">
        <v>-0.34</v>
      </c>
      <c r="D1453">
        <v>-0.35409252896224297</v>
      </c>
      <c r="E1453">
        <v>6.5471370210913968E-2</v>
      </c>
      <c r="F1453">
        <v>1138.8587189694449</v>
      </c>
    </row>
    <row r="1454" spans="1:6" x14ac:dyDescent="0.3">
      <c r="A1454">
        <v>0.01</v>
      </c>
      <c r="B1454" t="s">
        <v>94</v>
      </c>
      <c r="C1454">
        <v>-0.33</v>
      </c>
      <c r="D1454">
        <v>-0.34282825441539394</v>
      </c>
      <c r="E1454">
        <v>6.4762215721355182E-2</v>
      </c>
      <c r="F1454">
        <v>1172.9426743965751</v>
      </c>
    </row>
    <row r="1455" spans="1:6" x14ac:dyDescent="0.3">
      <c r="A1455">
        <v>0.01</v>
      </c>
      <c r="B1455" t="s">
        <v>94</v>
      </c>
      <c r="C1455">
        <v>-0.32</v>
      </c>
      <c r="D1455">
        <v>-0.3316471087051322</v>
      </c>
      <c r="E1455">
        <v>6.4038605984744784E-2</v>
      </c>
      <c r="F1455">
        <v>1208.8954725616138</v>
      </c>
    </row>
    <row r="1456" spans="1:6" x14ac:dyDescent="0.3">
      <c r="A1456">
        <v>0.01</v>
      </c>
      <c r="B1456" t="s">
        <v>94</v>
      </c>
      <c r="C1456">
        <v>-0.31</v>
      </c>
      <c r="D1456">
        <v>-0.32054540930194608</v>
      </c>
      <c r="E1456">
        <v>6.32997080984887E-2</v>
      </c>
      <c r="F1456">
        <v>1246.8872247862173</v>
      </c>
    </row>
    <row r="1457" spans="1:6" x14ac:dyDescent="0.3">
      <c r="A1457">
        <v>0.01</v>
      </c>
      <c r="B1457" t="s">
        <v>94</v>
      </c>
      <c r="C1457">
        <v>-0.3</v>
      </c>
      <c r="D1457">
        <v>-0.30951960420311175</v>
      </c>
      <c r="E1457">
        <v>6.2544648844887155E-2</v>
      </c>
      <c r="F1457">
        <v>1287.1091782655471</v>
      </c>
    </row>
    <row r="1458" spans="1:6" x14ac:dyDescent="0.3">
      <c r="A1458">
        <v>0.01</v>
      </c>
      <c r="B1458" t="s">
        <v>94</v>
      </c>
      <c r="C1458">
        <v>-0.28999999999999998</v>
      </c>
      <c r="D1458">
        <v>-0.29856626366017835</v>
      </c>
      <c r="E1458">
        <v>6.1772487307431088E-2</v>
      </c>
      <c r="F1458">
        <v>1329.777238121296</v>
      </c>
    </row>
    <row r="1459" spans="1:6" x14ac:dyDescent="0.3">
      <c r="A1459">
        <v>0.01</v>
      </c>
      <c r="B1459" t="s">
        <v>94</v>
      </c>
      <c r="C1459">
        <v>-0.28000000000000003</v>
      </c>
      <c r="D1459">
        <v>-0.2876820724517809</v>
      </c>
      <c r="E1459">
        <v>6.0982200062717699E-2</v>
      </c>
      <c r="F1459">
        <v>1375.1361460165385</v>
      </c>
    </row>
    <row r="1460" spans="1:6" x14ac:dyDescent="0.3">
      <c r="A1460">
        <v>0.01</v>
      </c>
      <c r="B1460" t="s">
        <v>94</v>
      </c>
      <c r="C1460">
        <v>-0.27</v>
      </c>
      <c r="D1460">
        <v>-0.27686382265510007</v>
      </c>
      <c r="E1460">
        <v>6.0172667205090166E-2</v>
      </c>
      <c r="F1460">
        <v>1423.4645285667484</v>
      </c>
    </row>
    <row r="1461" spans="1:6" x14ac:dyDescent="0.3">
      <c r="A1461">
        <v>0.01</v>
      </c>
      <c r="B1461" t="s">
        <v>94</v>
      </c>
      <c r="C1461">
        <v>-0.26</v>
      </c>
      <c r="D1461">
        <v>-0.26610840687365411</v>
      </c>
      <c r="E1461">
        <v>5.934270356086687E-2</v>
      </c>
      <c r="F1461">
        <v>1475.0807775423375</v>
      </c>
    </row>
    <row r="1462" spans="1:6" x14ac:dyDescent="0.3">
      <c r="A1462">
        <v>0.01</v>
      </c>
      <c r="B1462" t="s">
        <v>94</v>
      </c>
      <c r="C1462">
        <v>-0.25</v>
      </c>
      <c r="D1462">
        <v>-0.25541281188299536</v>
      </c>
      <c r="E1462">
        <v>5.8490978738983894E-2</v>
      </c>
      <c r="F1462">
        <v>1530.3508911029778</v>
      </c>
    </row>
    <row r="1463" spans="1:6" x14ac:dyDescent="0.3">
      <c r="A1463">
        <v>0.01</v>
      </c>
      <c r="B1463" t="s">
        <v>94</v>
      </c>
      <c r="C1463">
        <v>-0.24</v>
      </c>
      <c r="D1463">
        <v>-0.24477411265935289</v>
      </c>
      <c r="E1463">
        <v>5.7616061130014815E-2</v>
      </c>
      <c r="F1463">
        <v>1589.6973928729165</v>
      </c>
    </row>
    <row r="1464" spans="1:6" x14ac:dyDescent="0.3">
      <c r="A1464">
        <v>0.01</v>
      </c>
      <c r="B1464" t="s">
        <v>94</v>
      </c>
      <c r="C1464">
        <v>-0.23</v>
      </c>
      <c r="D1464">
        <v>-0.23418946675936678</v>
      </c>
      <c r="E1464">
        <v>5.6716373567448831E-2</v>
      </c>
      <c r="F1464">
        <v>1653.6109712967934</v>
      </c>
    </row>
    <row r="1465" spans="1:6" x14ac:dyDescent="0.3">
      <c r="A1465">
        <v>0.01</v>
      </c>
      <c r="B1465" t="s">
        <v>94</v>
      </c>
      <c r="C1465">
        <v>-0.22</v>
      </c>
      <c r="D1465">
        <v>-0.22365610902183239</v>
      </c>
      <c r="E1465">
        <v>5.579016204553118E-2</v>
      </c>
      <c r="F1465">
        <v>1722.6649966710143</v>
      </c>
    </row>
    <row r="1466" spans="1:6" x14ac:dyDescent="0.3">
      <c r="A1466">
        <v>0.01</v>
      </c>
      <c r="B1466" t="s">
        <v>94</v>
      </c>
      <c r="C1466">
        <v>-0.21</v>
      </c>
      <c r="D1466">
        <v>-0.21317134656485975</v>
      </c>
      <c r="E1466">
        <v>5.4835498318277089E-2</v>
      </c>
      <c r="F1466">
        <v>1797.533615251986</v>
      </c>
    </row>
    <row r="1467" spans="1:6" x14ac:dyDescent="0.3">
      <c r="A1467">
        <v>0.01</v>
      </c>
      <c r="B1467" t="s">
        <v>94</v>
      </c>
      <c r="C1467">
        <v>-0.2</v>
      </c>
      <c r="D1467">
        <v>-0.20273255405408214</v>
      </c>
      <c r="E1467">
        <v>5.3850240425987989E-2</v>
      </c>
      <c r="F1467">
        <v>1879.0151844453687</v>
      </c>
    </row>
    <row r="1468" spans="1:6" x14ac:dyDescent="0.3">
      <c r="A1468">
        <v>0.01</v>
      </c>
      <c r="B1468" t="s">
        <v>94</v>
      </c>
      <c r="C1468">
        <v>-0.19</v>
      </c>
      <c r="D1468">
        <v>-0.1923371692195453</v>
      </c>
      <c r="E1468">
        <v>5.2831963875394204E-2</v>
      </c>
      <c r="F1468">
        <v>1968.0628216086218</v>
      </c>
    </row>
    <row r="1469" spans="1:6" x14ac:dyDescent="0.3">
      <c r="A1469">
        <v>0.01</v>
      </c>
      <c r="B1469" t="s">
        <v>94</v>
      </c>
      <c r="C1469">
        <v>-0.18</v>
      </c>
      <c r="D1469">
        <v>-0.18198268860070579</v>
      </c>
      <c r="E1469">
        <v>5.1777959243201617E-2</v>
      </c>
      <c r="F1469">
        <v>2065.8236737320149</v>
      </c>
    </row>
    <row r="1470" spans="1:6" x14ac:dyDescent="0.3">
      <c r="A1470">
        <v>0.01</v>
      </c>
      <c r="B1470" t="s">
        <v>94</v>
      </c>
      <c r="C1470">
        <v>-0.17</v>
      </c>
      <c r="D1470">
        <v>-0.17166666350057908</v>
      </c>
      <c r="E1470">
        <v>5.0685157949320769E-2</v>
      </c>
      <c r="F1470">
        <v>2173.6916064151774</v>
      </c>
    </row>
    <row r="1471" spans="1:6" x14ac:dyDescent="0.3">
      <c r="A1471">
        <v>0.01</v>
      </c>
      <c r="B1471" t="s">
        <v>94</v>
      </c>
      <c r="C1471">
        <v>-0.16</v>
      </c>
      <c r="D1471">
        <v>-0.16138669613152551</v>
      </c>
      <c r="E1471">
        <v>4.9550041515165247E-2</v>
      </c>
      <c r="F1471">
        <v>2293.3781761928435</v>
      </c>
    </row>
    <row r="1472" spans="1:6" x14ac:dyDescent="0.3">
      <c r="A1472">
        <v>0.01</v>
      </c>
      <c r="B1472" t="s">
        <v>94</v>
      </c>
      <c r="C1472">
        <v>-0.15</v>
      </c>
      <c r="D1472">
        <v>-0.15114043593646675</v>
      </c>
      <c r="E1472">
        <v>4.836857628864781E-2</v>
      </c>
      <c r="F1472">
        <v>2427.0091148912175</v>
      </c>
    </row>
    <row r="1473" spans="1:6" x14ac:dyDescent="0.3">
      <c r="A1473">
        <v>0.01</v>
      </c>
      <c r="B1473" t="s">
        <v>94</v>
      </c>
      <c r="C1473">
        <v>-0.14000000000000001</v>
      </c>
      <c r="D1473">
        <v>-0.14092557607049394</v>
      </c>
      <c r="E1473">
        <v>4.7136060837677719E-2</v>
      </c>
      <c r="F1473">
        <v>2577.2595271507221</v>
      </c>
    </row>
    <row r="1474" spans="1:6" x14ac:dyDescent="0.3">
      <c r="A1474">
        <v>0.01</v>
      </c>
      <c r="B1474" t="s">
        <v>94</v>
      </c>
      <c r="C1474">
        <v>-0.13</v>
      </c>
      <c r="D1474">
        <v>-0.13073985002887836</v>
      </c>
      <c r="E1474">
        <v>4.5847021835603366E-2</v>
      </c>
      <c r="F1474">
        <v>2747.5445941372773</v>
      </c>
    </row>
    <row r="1475" spans="1:6" x14ac:dyDescent="0.3">
      <c r="A1475">
        <v>0.01</v>
      </c>
      <c r="B1475" t="s">
        <v>94</v>
      </c>
      <c r="C1475">
        <v>-0.12</v>
      </c>
      <c r="D1475">
        <v>-0.12058102840844405</v>
      </c>
      <c r="E1475">
        <v>4.4494926190033847E-2</v>
      </c>
      <c r="F1475">
        <v>2942.299119350505</v>
      </c>
    </row>
    <row r="1476" spans="1:6" x14ac:dyDescent="0.3">
      <c r="A1476">
        <v>0.01</v>
      </c>
      <c r="B1476" t="s">
        <v>94</v>
      </c>
      <c r="C1476">
        <v>-0.11</v>
      </c>
      <c r="D1476">
        <v>-0.1104469157900972</v>
      </c>
      <c r="E1476">
        <v>4.3071952788221783E-2</v>
      </c>
      <c r="F1476">
        <v>3167.3919572724353</v>
      </c>
    </row>
    <row r="1477" spans="1:6" x14ac:dyDescent="0.3">
      <c r="A1477">
        <v>0.01</v>
      </c>
      <c r="B1477" t="s">
        <v>94</v>
      </c>
      <c r="C1477">
        <v>-0.1</v>
      </c>
      <c r="D1477">
        <v>-0.10033534773107562</v>
      </c>
      <c r="E1477">
        <v>4.1568525827395938E-2</v>
      </c>
      <c r="F1477">
        <v>3430.7660836807954</v>
      </c>
    </row>
    <row r="1478" spans="1:6" x14ac:dyDescent="0.3">
      <c r="A1478">
        <v>0.01</v>
      </c>
      <c r="B1478" t="s">
        <v>94</v>
      </c>
      <c r="C1478">
        <v>-0.09</v>
      </c>
      <c r="D1478">
        <v>-9.0244187856146837E-2</v>
      </c>
      <c r="E1478">
        <v>3.9972813818887266E-2</v>
      </c>
      <c r="F1478">
        <v>3743.4541036022501</v>
      </c>
    </row>
    <row r="1479" spans="1:6" x14ac:dyDescent="0.3">
      <c r="A1479">
        <v>0.01</v>
      </c>
      <c r="B1479" t="s">
        <v>94</v>
      </c>
      <c r="C1479">
        <v>-0.08</v>
      </c>
      <c r="D1479">
        <v>-8.0171325037589683E-2</v>
      </c>
      <c r="E1479">
        <v>3.8269683085122158E-2</v>
      </c>
      <c r="F1479">
        <v>4121.2730193508041</v>
      </c>
    </row>
    <row r="1480" spans="1:6" x14ac:dyDescent="0.3">
      <c r="A1480">
        <v>0.01</v>
      </c>
      <c r="B1480" t="s">
        <v>94</v>
      </c>
      <c r="C1480">
        <v>-7.0000000000000007E-2</v>
      </c>
      <c r="D1480">
        <v>-7.0114670654325195E-2</v>
      </c>
      <c r="E1480">
        <v>3.6439488103100798E-2</v>
      </c>
      <c r="F1480">
        <v>4587.7712953298496</v>
      </c>
    </row>
    <row r="1481" spans="1:6" x14ac:dyDescent="0.3">
      <c r="A1481">
        <v>0.01</v>
      </c>
      <c r="B1481" t="s">
        <v>94</v>
      </c>
      <c r="C1481">
        <v>-0.06</v>
      </c>
      <c r="D1481">
        <v>-6.007215592103167E-2</v>
      </c>
      <c r="E1481">
        <v>3.4455697696097923E-2</v>
      </c>
      <c r="F1481">
        <v>5179.7151309577239</v>
      </c>
    </row>
    <row r="1482" spans="1:6" x14ac:dyDescent="0.3">
      <c r="A1482">
        <v>0.01</v>
      </c>
      <c r="B1482" t="s">
        <v>94</v>
      </c>
      <c r="C1482">
        <v>-0.05</v>
      </c>
      <c r="D1482">
        <v>-5.0041729278491327E-2</v>
      </c>
      <c r="E1482">
        <v>3.2280936088129673E-2</v>
      </c>
      <c r="F1482">
        <v>5958.1008184194416</v>
      </c>
    </row>
    <row r="1483" spans="1:6" x14ac:dyDescent="0.3">
      <c r="A1483">
        <v>0.01</v>
      </c>
      <c r="B1483" t="s">
        <v>94</v>
      </c>
      <c r="C1483">
        <v>-0.04</v>
      </c>
      <c r="D1483">
        <v>-4.0021353836768248E-2</v>
      </c>
      <c r="E1483">
        <v>2.9859520268780859E-2</v>
      </c>
      <c r="F1483">
        <v>7032.6401054576681</v>
      </c>
    </row>
    <row r="1484" spans="1:6" x14ac:dyDescent="0.3">
      <c r="A1484">
        <v>0.01</v>
      </c>
      <c r="B1484" t="s">
        <v>94</v>
      </c>
      <c r="C1484">
        <v>-0.03</v>
      </c>
      <c r="D1484">
        <v>-3.000900486312652E-2</v>
      </c>
      <c r="E1484">
        <v>2.7101306793367034E-2</v>
      </c>
      <c r="F1484">
        <v>8624.4514487366287</v>
      </c>
    </row>
    <row r="1485" spans="1:6" x14ac:dyDescent="0.3">
      <c r="A1485">
        <v>0.01</v>
      </c>
      <c r="B1485" t="s">
        <v>94</v>
      </c>
      <c r="C1485">
        <v>-0.02</v>
      </c>
      <c r="D1485">
        <v>-2.0002667306849624E-2</v>
      </c>
      <c r="E1485">
        <v>2.3841306972032565E-2</v>
      </c>
      <c r="F1485">
        <v>11263.76974579536</v>
      </c>
    </row>
    <row r="1486" spans="1:6" x14ac:dyDescent="0.3">
      <c r="A1486">
        <v>0.01</v>
      </c>
      <c r="B1486" t="s">
        <v>94</v>
      </c>
      <c r="C1486">
        <v>-0.01</v>
      </c>
      <c r="D1486">
        <v>-1.0000333353334771E-2</v>
      </c>
      <c r="E1486">
        <v>1.970307489416127E-2</v>
      </c>
      <c r="F1486">
        <v>16681.956387198865</v>
      </c>
    </row>
    <row r="1487" spans="1:6" x14ac:dyDescent="0.3">
      <c r="A1487">
        <v>0.1</v>
      </c>
      <c r="B1487" t="s">
        <v>95</v>
      </c>
      <c r="C1487">
        <v>-0.99</v>
      </c>
      <c r="D1487">
        <v>-2.6466524123622457</v>
      </c>
      <c r="E1487">
        <v>7.266080132150933E-2</v>
      </c>
      <c r="F1487">
        <v>103.45310727664997</v>
      </c>
    </row>
    <row r="1488" spans="1:6" x14ac:dyDescent="0.3">
      <c r="A1488">
        <v>0.1</v>
      </c>
      <c r="B1488" t="s">
        <v>95</v>
      </c>
      <c r="C1488">
        <v>-0.98</v>
      </c>
      <c r="D1488">
        <v>-2.2975599250672945</v>
      </c>
      <c r="E1488">
        <v>7.1618328403872361E-2</v>
      </c>
      <c r="F1488">
        <v>118.48010809832556</v>
      </c>
    </row>
    <row r="1489" spans="1:6" x14ac:dyDescent="0.3">
      <c r="A1489">
        <v>0.1</v>
      </c>
      <c r="B1489" t="s">
        <v>95</v>
      </c>
      <c r="C1489">
        <v>-0.97</v>
      </c>
      <c r="D1489">
        <v>-2.0922957200349388</v>
      </c>
      <c r="E1489">
        <v>7.0873879593038702E-2</v>
      </c>
      <c r="F1489">
        <v>129.61960198230472</v>
      </c>
    </row>
    <row r="1490" spans="1:6" x14ac:dyDescent="0.3">
      <c r="A1490">
        <v>0.1</v>
      </c>
      <c r="B1490" t="s">
        <v>95</v>
      </c>
      <c r="C1490">
        <v>-0.96</v>
      </c>
      <c r="D1490">
        <v>-1.9459101490553128</v>
      </c>
      <c r="E1490">
        <v>7.0266256834325941E-2</v>
      </c>
      <c r="F1490">
        <v>138.97521204040515</v>
      </c>
    </row>
    <row r="1491" spans="1:6" x14ac:dyDescent="0.3">
      <c r="A1491">
        <v>0.1</v>
      </c>
      <c r="B1491" t="s">
        <v>95</v>
      </c>
      <c r="C1491">
        <v>-0.95</v>
      </c>
      <c r="D1491">
        <v>-1.8317808230648227</v>
      </c>
      <c r="E1491">
        <v>6.9739255883741288E-2</v>
      </c>
      <c r="F1491">
        <v>147.28832055512999</v>
      </c>
    </row>
    <row r="1492" spans="1:6" x14ac:dyDescent="0.3">
      <c r="A1492">
        <v>0.1</v>
      </c>
      <c r="B1492" t="s">
        <v>95</v>
      </c>
      <c r="C1492">
        <v>-0.94</v>
      </c>
      <c r="D1492">
        <v>-1.7380493449176362</v>
      </c>
      <c r="E1492">
        <v>6.9265927711499087E-2</v>
      </c>
      <c r="F1492">
        <v>154.91713037476831</v>
      </c>
    </row>
    <row r="1493" spans="1:6" x14ac:dyDescent="0.3">
      <c r="A1493">
        <v>0.1</v>
      </c>
      <c r="B1493" t="s">
        <v>95</v>
      </c>
      <c r="C1493">
        <v>-0.93</v>
      </c>
      <c r="D1493">
        <v>-1.6583900199247865</v>
      </c>
      <c r="E1493">
        <v>6.8831036324584718E-2</v>
      </c>
      <c r="F1493">
        <v>162.06552560696238</v>
      </c>
    </row>
    <row r="1494" spans="1:6" x14ac:dyDescent="0.3">
      <c r="A1494">
        <v>0.1</v>
      </c>
      <c r="B1494" t="s">
        <v>95</v>
      </c>
      <c r="C1494">
        <v>-0.92</v>
      </c>
      <c r="D1494">
        <v>-1.5890269151739731</v>
      </c>
      <c r="E1494">
        <v>6.842504170731209E-2</v>
      </c>
      <c r="F1494">
        <v>168.86218007266535</v>
      </c>
    </row>
    <row r="1495" spans="1:6" x14ac:dyDescent="0.3">
      <c r="A1495">
        <v>0.1</v>
      </c>
      <c r="B1495" t="s">
        <v>95</v>
      </c>
      <c r="C1495">
        <v>-0.91</v>
      </c>
      <c r="D1495">
        <v>-1.5275244253552054</v>
      </c>
      <c r="E1495">
        <v>6.8041554208265256E-2</v>
      </c>
      <c r="F1495">
        <v>175.3943699645049</v>
      </c>
    </row>
    <row r="1496" spans="1:6" x14ac:dyDescent="0.3">
      <c r="A1496">
        <v>0.1</v>
      </c>
      <c r="B1496" t="s">
        <v>95</v>
      </c>
      <c r="C1496">
        <v>-0.9</v>
      </c>
      <c r="D1496">
        <v>-1.4722194895832204</v>
      </c>
      <c r="E1496">
        <v>6.7676012308852979E-2</v>
      </c>
      <c r="F1496">
        <v>181.72459183629047</v>
      </c>
    </row>
    <row r="1497" spans="1:6" x14ac:dyDescent="0.3">
      <c r="A1497">
        <v>0.1</v>
      </c>
      <c r="B1497" t="s">
        <v>95</v>
      </c>
      <c r="C1497">
        <v>-0.89</v>
      </c>
      <c r="D1497">
        <v>-1.421925871130636</v>
      </c>
      <c r="E1497">
        <v>6.7325043140979451E-2</v>
      </c>
      <c r="F1497">
        <v>187.89953016281498</v>
      </c>
    </row>
    <row r="1498" spans="1:6" x14ac:dyDescent="0.3">
      <c r="A1498">
        <v>0.1</v>
      </c>
      <c r="B1498" t="s">
        <v>95</v>
      </c>
      <c r="C1498">
        <v>-0.88</v>
      </c>
      <c r="D1498">
        <v>-1.3757676565209744</v>
      </c>
      <c r="E1498">
        <v>6.6986096232670878E-2</v>
      </c>
      <c r="F1498">
        <v>193.95527559277832</v>
      </c>
    </row>
    <row r="1499" spans="1:6" x14ac:dyDescent="0.3">
      <c r="A1499">
        <v>0.1</v>
      </c>
      <c r="B1499" t="s">
        <v>95</v>
      </c>
      <c r="C1499">
        <v>-0.87</v>
      </c>
      <c r="D1499">
        <v>-1.333079629696525</v>
      </c>
      <c r="E1499">
        <v>6.6657177647864829E-2</v>
      </c>
      <c r="F1499">
        <v>199.92055926533206</v>
      </c>
    </row>
    <row r="1500" spans="1:6" x14ac:dyDescent="0.3">
      <c r="A1500">
        <v>0.1</v>
      </c>
      <c r="B1500" t="s">
        <v>95</v>
      </c>
      <c r="C1500">
        <v>-0.86</v>
      </c>
      <c r="D1500">
        <v>-1.2933446720489712</v>
      </c>
      <c r="E1500">
        <v>6.6336670208492501E-2</v>
      </c>
      <c r="F1500">
        <v>205.81884837346729</v>
      </c>
    </row>
    <row r="1501" spans="1:6" x14ac:dyDescent="0.3">
      <c r="A1501">
        <v>0.1</v>
      </c>
      <c r="B1501" t="s">
        <v>95</v>
      </c>
      <c r="C1501">
        <v>-0.85</v>
      </c>
      <c r="D1501">
        <v>-1.2561528119880574</v>
      </c>
      <c r="E1501">
        <v>6.602325649897578E-2</v>
      </c>
      <c r="F1501">
        <v>211.66973545783523</v>
      </c>
    </row>
    <row r="1502" spans="1:6" x14ac:dyDescent="0.3">
      <c r="A1502">
        <v>0.1</v>
      </c>
      <c r="B1502" t="s">
        <v>95</v>
      </c>
      <c r="C1502">
        <v>-0.84</v>
      </c>
      <c r="D1502">
        <v>-1.2211735176846021</v>
      </c>
      <c r="E1502">
        <v>6.5715866463406658E-2</v>
      </c>
      <c r="F1502">
        <v>217.48989985822897</v>
      </c>
    </row>
    <row r="1503" spans="1:6" x14ac:dyDescent="0.3">
      <c r="A1503">
        <v>0.1</v>
      </c>
      <c r="B1503" t="s">
        <v>95</v>
      </c>
      <c r="C1503">
        <v>-0.83</v>
      </c>
      <c r="D1503">
        <v>-1.1881364043926024</v>
      </c>
      <c r="E1503">
        <v>6.5413556979924209E-2</v>
      </c>
      <c r="F1503">
        <v>223.29383363337189</v>
      </c>
    </row>
    <row r="1504" spans="1:6" x14ac:dyDescent="0.3">
      <c r="A1504">
        <v>0.1</v>
      </c>
      <c r="B1504" t="s">
        <v>95</v>
      </c>
      <c r="C1504">
        <v>-0.82</v>
      </c>
      <c r="D1504">
        <v>-1.1568174645903151</v>
      </c>
      <c r="E1504">
        <v>6.5115565113888649E-2</v>
      </c>
      <c r="F1504">
        <v>229.09430514977043</v>
      </c>
    </row>
    <row r="1505" spans="1:6" x14ac:dyDescent="0.3">
      <c r="A1505">
        <v>0.1</v>
      </c>
      <c r="B1505" t="s">
        <v>95</v>
      </c>
      <c r="C1505">
        <v>-0.81</v>
      </c>
      <c r="D1505">
        <v>-1.1270290260496929</v>
      </c>
      <c r="E1505">
        <v>6.482121020366341E-2</v>
      </c>
      <c r="F1505">
        <v>234.90277193080533</v>
      </c>
    </row>
    <row r="1506" spans="1:6" x14ac:dyDescent="0.3">
      <c r="A1506">
        <v>0.1</v>
      </c>
      <c r="B1506" t="s">
        <v>95</v>
      </c>
      <c r="C1506">
        <v>-0.8</v>
      </c>
      <c r="D1506">
        <v>-1.0986122886681098</v>
      </c>
      <c r="E1506">
        <v>6.4529886469342296E-2</v>
      </c>
      <c r="F1506">
        <v>240.72966435457678</v>
      </c>
    </row>
    <row r="1507" spans="1:6" x14ac:dyDescent="0.3">
      <c r="A1507">
        <v>0.1</v>
      </c>
      <c r="B1507" t="s">
        <v>95</v>
      </c>
      <c r="C1507">
        <v>-0.79</v>
      </c>
      <c r="D1507">
        <v>-1.0714316840586662</v>
      </c>
      <c r="E1507">
        <v>6.4241091382155391E-2</v>
      </c>
      <c r="F1507">
        <v>246.58458567488557</v>
      </c>
    </row>
    <row r="1508" spans="1:6" x14ac:dyDescent="0.3">
      <c r="A1508">
        <v>0.1</v>
      </c>
      <c r="B1508" t="s">
        <v>95</v>
      </c>
      <c r="C1508">
        <v>-0.78</v>
      </c>
      <c r="D1508">
        <v>-1.0453705484668847</v>
      </c>
      <c r="E1508">
        <v>6.3954338552852791E-2</v>
      </c>
      <c r="F1508">
        <v>252.47653106131793</v>
      </c>
    </row>
    <row r="1509" spans="1:6" x14ac:dyDescent="0.3">
      <c r="A1509">
        <v>0.1</v>
      </c>
      <c r="B1509" t="s">
        <v>95</v>
      </c>
      <c r="C1509">
        <v>-0.77</v>
      </c>
      <c r="D1509">
        <v>-1.0203277583223398</v>
      </c>
      <c r="E1509">
        <v>6.3669237498138645E-2</v>
      </c>
      <c r="F1509">
        <v>258.41397931518537</v>
      </c>
    </row>
    <row r="1510" spans="1:6" x14ac:dyDescent="0.3">
      <c r="A1510">
        <v>0.1</v>
      </c>
      <c r="B1510" t="s">
        <v>95</v>
      </c>
      <c r="C1510">
        <v>-0.76</v>
      </c>
      <c r="D1510">
        <v>-0.99621508234510314</v>
      </c>
      <c r="E1510">
        <v>6.3385374588581594E-2</v>
      </c>
      <c r="F1510">
        <v>264.40507582311039</v>
      </c>
    </row>
    <row r="1511" spans="1:6" x14ac:dyDescent="0.3">
      <c r="A1511">
        <v>0.1</v>
      </c>
      <c r="B1511" t="s">
        <v>95</v>
      </c>
      <c r="C1511">
        <v>-0.75</v>
      </c>
      <c r="D1511">
        <v>-0.97295507452765673</v>
      </c>
      <c r="E1511">
        <v>6.3102426437842501E-2</v>
      </c>
      <c r="F1511">
        <v>270.457657675203</v>
      </c>
    </row>
    <row r="1512" spans="1:6" x14ac:dyDescent="0.3">
      <c r="A1512">
        <v>0.1</v>
      </c>
      <c r="B1512" t="s">
        <v>95</v>
      </c>
      <c r="C1512">
        <v>-0.74</v>
      </c>
      <c r="D1512">
        <v>-0.95047938059652348</v>
      </c>
      <c r="E1512">
        <v>6.2820069742551152E-2</v>
      </c>
      <c r="F1512">
        <v>276.57938790034177</v>
      </c>
    </row>
    <row r="1513" spans="1:6" x14ac:dyDescent="0.3">
      <c r="A1513">
        <v>0.1</v>
      </c>
      <c r="B1513" t="s">
        <v>95</v>
      </c>
      <c r="C1513">
        <v>-0.73</v>
      </c>
      <c r="D1513">
        <v>-0.92872736424672497</v>
      </c>
      <c r="E1513">
        <v>6.2537988426090263E-2</v>
      </c>
      <c r="F1513">
        <v>282.77782148655177</v>
      </c>
    </row>
    <row r="1514" spans="1:6" x14ac:dyDescent="0.3">
      <c r="A1514">
        <v>0.1</v>
      </c>
      <c r="B1514" t="s">
        <v>95</v>
      </c>
      <c r="C1514">
        <v>-0.72</v>
      </c>
      <c r="D1514">
        <v>-0.90764498331912458</v>
      </c>
      <c r="E1514">
        <v>6.2255927334460143E-2</v>
      </c>
      <c r="F1514">
        <v>289.06042845004197</v>
      </c>
    </row>
    <row r="1515" spans="1:6" x14ac:dyDescent="0.3">
      <c r="A1515">
        <v>0.1</v>
      </c>
      <c r="B1515" t="s">
        <v>95</v>
      </c>
      <c r="C1515">
        <v>-0.71</v>
      </c>
      <c r="D1515">
        <v>-0.88718386325809284</v>
      </c>
      <c r="E1515">
        <v>6.1973624448237528E-2</v>
      </c>
      <c r="F1515">
        <v>295.43469333579469</v>
      </c>
    </row>
    <row r="1516" spans="1:6" x14ac:dyDescent="0.3">
      <c r="A1516">
        <v>0.1</v>
      </c>
      <c r="B1516" t="s">
        <v>95</v>
      </c>
      <c r="C1516">
        <v>-0.7</v>
      </c>
      <c r="D1516">
        <v>-0.86730052769405308</v>
      </c>
      <c r="E1516">
        <v>6.1690815252272241E-2</v>
      </c>
      <c r="F1516">
        <v>301.9081635064876</v>
      </c>
    </row>
    <row r="1517" spans="1:6" x14ac:dyDescent="0.3">
      <c r="A1517">
        <v>0.1</v>
      </c>
      <c r="B1517" t="s">
        <v>95</v>
      </c>
      <c r="C1517">
        <v>-0.69</v>
      </c>
      <c r="D1517">
        <v>-0.84795575521896349</v>
      </c>
      <c r="E1517">
        <v>6.1407270793181055E-2</v>
      </c>
      <c r="F1517">
        <v>308.48846676656865</v>
      </c>
    </row>
    <row r="1518" spans="1:6" x14ac:dyDescent="0.3">
      <c r="A1518">
        <v>0.1</v>
      </c>
      <c r="B1518" t="s">
        <v>95</v>
      </c>
      <c r="C1518">
        <v>-0.68</v>
      </c>
      <c r="D1518">
        <v>-0.82911403830176633</v>
      </c>
      <c r="E1518">
        <v>6.1122764098855364E-2</v>
      </c>
      <c r="F1518">
        <v>315.18337925289683</v>
      </c>
    </row>
    <row r="1519" spans="1:6" x14ac:dyDescent="0.3">
      <c r="A1519">
        <v>0.1</v>
      </c>
      <c r="B1519" t="s">
        <v>95</v>
      </c>
      <c r="C1519">
        <v>-0.67</v>
      </c>
      <c r="D1519">
        <v>-0.81074312547513749</v>
      </c>
      <c r="E1519">
        <v>6.0837076438669993E-2</v>
      </c>
      <c r="F1519">
        <v>322.00086304646391</v>
      </c>
    </row>
    <row r="1520" spans="1:6" x14ac:dyDescent="0.3">
      <c r="A1520">
        <v>0.1</v>
      </c>
      <c r="B1520" t="s">
        <v>95</v>
      </c>
      <c r="C1520">
        <v>-0.66</v>
      </c>
      <c r="D1520">
        <v>-0.79281363187019105</v>
      </c>
      <c r="E1520">
        <v>6.0549984717559388E-2</v>
      </c>
      <c r="F1520">
        <v>328.94911829734804</v>
      </c>
    </row>
    <row r="1521" spans="1:6" x14ac:dyDescent="0.3">
      <c r="A1521">
        <v>0.1</v>
      </c>
      <c r="B1521" t="s">
        <v>95</v>
      </c>
      <c r="C1521">
        <v>-0.65</v>
      </c>
      <c r="D1521">
        <v>-0.7752987062055835</v>
      </c>
      <c r="E1521">
        <v>6.0261288986173195E-2</v>
      </c>
      <c r="F1521">
        <v>336.03660138884766</v>
      </c>
    </row>
    <row r="1522" spans="1:6" x14ac:dyDescent="0.3">
      <c r="A1522">
        <v>0.1</v>
      </c>
      <c r="B1522" t="s">
        <v>95</v>
      </c>
      <c r="C1522">
        <v>-0.64</v>
      </c>
      <c r="D1522">
        <v>-0.7581737446840443</v>
      </c>
      <c r="E1522">
        <v>5.9970788789068363E-2</v>
      </c>
      <c r="F1522">
        <v>343.27208610017652</v>
      </c>
    </row>
    <row r="1523" spans="1:6" x14ac:dyDescent="0.3">
      <c r="A1523">
        <v>0.1</v>
      </c>
      <c r="B1523" t="s">
        <v>95</v>
      </c>
      <c r="C1523">
        <v>-0.63</v>
      </c>
      <c r="D1523">
        <v>-0.74141614408126888</v>
      </c>
      <c r="E1523">
        <v>5.9678279157367155E-2</v>
      </c>
      <c r="F1523">
        <v>350.66471095710938</v>
      </c>
    </row>
    <row r="1524" spans="1:6" x14ac:dyDescent="0.3">
      <c r="A1524">
        <v>0.1</v>
      </c>
      <c r="B1524" t="s">
        <v>95</v>
      </c>
      <c r="C1524">
        <v>-0.62</v>
      </c>
      <c r="D1524">
        <v>-0.72500508775299921</v>
      </c>
      <c r="E1524">
        <v>5.9383554458245523E-2</v>
      </c>
      <c r="F1524">
        <v>358.22402121372318</v>
      </c>
    </row>
    <row r="1525" spans="1:6" x14ac:dyDescent="0.3">
      <c r="A1525">
        <v>0.1</v>
      </c>
      <c r="B1525" t="s">
        <v>95</v>
      </c>
      <c r="C1525">
        <v>-0.61</v>
      </c>
      <c r="D1525">
        <v>-0.7089213594274083</v>
      </c>
      <c r="E1525">
        <v>5.9086409241069206E-2</v>
      </c>
      <c r="F1525">
        <v>365.96001535689777</v>
      </c>
    </row>
    <row r="1526" spans="1:6" x14ac:dyDescent="0.3">
      <c r="A1526">
        <v>0.1</v>
      </c>
      <c r="B1526" t="s">
        <v>95</v>
      </c>
      <c r="C1526">
        <v>-0.6</v>
      </c>
      <c r="D1526">
        <v>-0.69314718055994529</v>
      </c>
      <c r="E1526">
        <v>5.8786658015872878E-2</v>
      </c>
      <c r="F1526">
        <v>373.88317443342265</v>
      </c>
    </row>
    <row r="1527" spans="1:6" x14ac:dyDescent="0.3">
      <c r="A1527">
        <v>0.1</v>
      </c>
      <c r="B1527" t="s">
        <v>95</v>
      </c>
      <c r="C1527">
        <v>-0.59</v>
      </c>
      <c r="D1527">
        <v>-0.67766606775796179</v>
      </c>
      <c r="E1527">
        <v>5.8484088630207341E-2</v>
      </c>
      <c r="F1527">
        <v>382.00456201857355</v>
      </c>
    </row>
    <row r="1528" spans="1:6" x14ac:dyDescent="0.3">
      <c r="A1528">
        <v>0.1</v>
      </c>
      <c r="B1528" t="s">
        <v>95</v>
      </c>
      <c r="C1528">
        <v>-0.57999999999999996</v>
      </c>
      <c r="D1528">
        <v>-0.66246270737179924</v>
      </c>
      <c r="E1528">
        <v>5.8178510769148824E-2</v>
      </c>
      <c r="F1528">
        <v>390.33583183131822</v>
      </c>
    </row>
    <row r="1529" spans="1:6" x14ac:dyDescent="0.3">
      <c r="A1529">
        <v>0.1</v>
      </c>
      <c r="B1529" t="s">
        <v>95</v>
      </c>
      <c r="C1529">
        <v>-0.56999999999999995</v>
      </c>
      <c r="D1529">
        <v>-0.64752284482737277</v>
      </c>
      <c r="E1529">
        <v>5.7869707240173311E-2</v>
      </c>
      <c r="F1529">
        <v>398.88934121288497</v>
      </c>
    </row>
    <row r="1530" spans="1:6" x14ac:dyDescent="0.3">
      <c r="A1530">
        <v>0.1</v>
      </c>
      <c r="B1530" t="s">
        <v>95</v>
      </c>
      <c r="C1530">
        <v>-0.56000000000000005</v>
      </c>
      <c r="D1530">
        <v>-0.63283318666563804</v>
      </c>
      <c r="E1530">
        <v>5.7557478959191673E-2</v>
      </c>
      <c r="F1530">
        <v>407.67816947294034</v>
      </c>
    </row>
    <row r="1531" spans="1:6" x14ac:dyDescent="0.3">
      <c r="A1531">
        <v>0.1</v>
      </c>
      <c r="B1531" t="s">
        <v>95</v>
      </c>
      <c r="C1531">
        <v>-0.55000000000000004</v>
      </c>
      <c r="D1531">
        <v>-0.61838131357446346</v>
      </c>
      <c r="E1531">
        <v>5.7241615515164102E-2</v>
      </c>
      <c r="F1531">
        <v>416.71622319247825</v>
      </c>
    </row>
    <row r="1532" spans="1:6" x14ac:dyDescent="0.3">
      <c r="A1532">
        <v>0.1</v>
      </c>
      <c r="B1532" t="s">
        <v>95</v>
      </c>
      <c r="C1532">
        <v>-0.54</v>
      </c>
      <c r="D1532">
        <v>-0.60415560296226711</v>
      </c>
      <c r="E1532">
        <v>5.6921881734407528E-2</v>
      </c>
      <c r="F1532">
        <v>426.01833494024407</v>
      </c>
    </row>
    <row r="1533" spans="1:6" x14ac:dyDescent="0.3">
      <c r="A1533">
        <v>0.1</v>
      </c>
      <c r="B1533" t="s">
        <v>95</v>
      </c>
      <c r="C1533">
        <v>-0.53</v>
      </c>
      <c r="D1533">
        <v>-0.59014515984118854</v>
      </c>
      <c r="E1533">
        <v>5.6598078501505368E-2</v>
      </c>
      <c r="F1533">
        <v>435.60027656690892</v>
      </c>
    </row>
    <row r="1534" spans="1:6" x14ac:dyDescent="0.3">
      <c r="A1534">
        <v>0.1</v>
      </c>
      <c r="B1534" t="s">
        <v>95</v>
      </c>
      <c r="C1534">
        <v>-0.52</v>
      </c>
      <c r="D1534">
        <v>-0.57633975496919276</v>
      </c>
      <c r="E1534">
        <v>5.6269962382881115E-2</v>
      </c>
      <c r="F1534">
        <v>445.47895651580006</v>
      </c>
    </row>
    <row r="1535" spans="1:6" x14ac:dyDescent="0.3">
      <c r="A1535">
        <v>0.1</v>
      </c>
      <c r="B1535" t="s">
        <v>95</v>
      </c>
      <c r="C1535">
        <v>-0.51</v>
      </c>
      <c r="D1535">
        <v>-0.56272976935214891</v>
      </c>
      <c r="E1535">
        <v>5.5937295510630244E-2</v>
      </c>
      <c r="F1535">
        <v>455.67246678014828</v>
      </c>
    </row>
    <row r="1536" spans="1:6" x14ac:dyDescent="0.3">
      <c r="A1536">
        <v>0.1</v>
      </c>
      <c r="B1536" t="s">
        <v>95</v>
      </c>
      <c r="C1536">
        <v>-0.5</v>
      </c>
      <c r="D1536">
        <v>-0.54930614433405489</v>
      </c>
      <c r="E1536">
        <v>5.5599839380970614E-2</v>
      </c>
      <c r="F1536">
        <v>466.20020934771946</v>
      </c>
    </row>
    <row r="1537" spans="1:6" x14ac:dyDescent="0.3">
      <c r="A1537">
        <v>0.1</v>
      </c>
      <c r="B1537" t="s">
        <v>95</v>
      </c>
      <c r="C1537">
        <v>-0.49</v>
      </c>
      <c r="D1537">
        <v>-0.53606033661056662</v>
      </c>
      <c r="E1537">
        <v>5.5257343989236922E-2</v>
      </c>
      <c r="F1537">
        <v>477.08304468340197</v>
      </c>
    </row>
    <row r="1538" spans="1:6" x14ac:dyDescent="0.3">
      <c r="A1538">
        <v>0.1</v>
      </c>
      <c r="B1538" t="s">
        <v>95</v>
      </c>
      <c r="C1538">
        <v>-0.48</v>
      </c>
      <c r="D1538">
        <v>-0.5229842775913438</v>
      </c>
      <c r="E1538">
        <v>5.4909556154879413E-2</v>
      </c>
      <c r="F1538">
        <v>488.34342919603893</v>
      </c>
    </row>
    <row r="1539" spans="1:6" x14ac:dyDescent="0.3">
      <c r="A1539">
        <v>0.1</v>
      </c>
      <c r="B1539" t="s">
        <v>95</v>
      </c>
      <c r="C1539">
        <v>-0.47</v>
      </c>
      <c r="D1539">
        <v>-0.51007033661330725</v>
      </c>
      <c r="E1539">
        <v>5.4556190045288507E-2</v>
      </c>
      <c r="F1539">
        <v>500.00562862231385</v>
      </c>
    </row>
    <row r="1540" spans="1:6" x14ac:dyDescent="0.3">
      <c r="A1540">
        <v>0.1</v>
      </c>
      <c r="B1540" t="s">
        <v>95</v>
      </c>
      <c r="C1540">
        <v>-0.46</v>
      </c>
      <c r="D1540">
        <v>-0.49731128757203097</v>
      </c>
      <c r="E1540">
        <v>5.4196954511845405E-2</v>
      </c>
      <c r="F1540">
        <v>512.09586735762048</v>
      </c>
    </row>
    <row r="1541" spans="1:6" x14ac:dyDescent="0.3">
      <c r="A1541">
        <v>0.1</v>
      </c>
      <c r="B1541" t="s">
        <v>95</v>
      </c>
      <c r="C1541">
        <v>-0.45</v>
      </c>
      <c r="D1541">
        <v>-0.48470027859405168</v>
      </c>
      <c r="E1541">
        <v>5.3831560534351931E-2</v>
      </c>
      <c r="F1541">
        <v>524.64252652537061</v>
      </c>
    </row>
    <row r="1542" spans="1:6" x14ac:dyDescent="0.3">
      <c r="A1542">
        <v>0.1</v>
      </c>
      <c r="B1542" t="s">
        <v>95</v>
      </c>
      <c r="C1542">
        <v>-0.44</v>
      </c>
      <c r="D1542">
        <v>-0.47223080442042559</v>
      </c>
      <c r="E1542">
        <v>5.3459692192023914E-2</v>
      </c>
      <c r="F1542">
        <v>537.67643175133935</v>
      </c>
    </row>
    <row r="1543" spans="1:6" x14ac:dyDescent="0.3">
      <c r="A1543">
        <v>0.1</v>
      </c>
      <c r="B1543" t="s">
        <v>95</v>
      </c>
      <c r="C1543">
        <v>-0.43</v>
      </c>
      <c r="D1543">
        <v>-0.45989668121267852</v>
      </c>
      <c r="E1543">
        <v>5.3081032871815266E-2</v>
      </c>
      <c r="F1543">
        <v>551.23108071306558</v>
      </c>
    </row>
    <row r="1544" spans="1:6" x14ac:dyDescent="0.3">
      <c r="A1544">
        <v>0.1</v>
      </c>
      <c r="B1544" t="s">
        <v>95</v>
      </c>
      <c r="C1544">
        <v>-0.42</v>
      </c>
      <c r="D1544">
        <v>-0.4476920235274206</v>
      </c>
      <c r="E1544">
        <v>5.2695237065337651E-2</v>
      </c>
      <c r="F1544">
        <v>565.3430023242305</v>
      </c>
    </row>
    <row r="1545" spans="1:6" x14ac:dyDescent="0.3">
      <c r="A1545">
        <v>0.1</v>
      </c>
      <c r="B1545" t="s">
        <v>95</v>
      </c>
      <c r="C1545">
        <v>-0.41</v>
      </c>
      <c r="D1545">
        <v>-0.43561122323622431</v>
      </c>
      <c r="E1545">
        <v>5.2301921440446097E-2</v>
      </c>
      <c r="F1545">
        <v>580.05213224079489</v>
      </c>
    </row>
    <row r="1546" spans="1:6" x14ac:dyDescent="0.3">
      <c r="A1546">
        <v>0.1</v>
      </c>
      <c r="B1546" t="s">
        <v>95</v>
      </c>
      <c r="C1546">
        <v>-0.4</v>
      </c>
      <c r="D1546">
        <v>-0.42364893019360178</v>
      </c>
      <c r="E1546">
        <v>5.1900725735441772E-2</v>
      </c>
      <c r="F1546">
        <v>595.40209639954116</v>
      </c>
    </row>
    <row r="1547" spans="1:6" x14ac:dyDescent="0.3">
      <c r="A1547">
        <v>0.1</v>
      </c>
      <c r="B1547" t="s">
        <v>95</v>
      </c>
      <c r="C1547">
        <v>-0.39</v>
      </c>
      <c r="D1547">
        <v>-0.41180003447869035</v>
      </c>
      <c r="E1547">
        <v>5.1491233355792129E-2</v>
      </c>
      <c r="F1547">
        <v>611.44083095382052</v>
      </c>
    </row>
    <row r="1548" spans="1:6" x14ac:dyDescent="0.3">
      <c r="A1548">
        <v>0.1</v>
      </c>
      <c r="B1548" t="s">
        <v>95</v>
      </c>
      <c r="C1548">
        <v>-0.38</v>
      </c>
      <c r="D1548">
        <v>-0.40005965005605654</v>
      </c>
      <c r="E1548">
        <v>5.1073032395594693E-2</v>
      </c>
      <c r="F1548">
        <v>628.22099094581017</v>
      </c>
    </row>
    <row r="1549" spans="1:6" x14ac:dyDescent="0.3">
      <c r="A1549">
        <v>0.1</v>
      </c>
      <c r="B1549" t="s">
        <v>95</v>
      </c>
      <c r="C1549">
        <v>-0.37</v>
      </c>
      <c r="D1549">
        <v>-0.38842309971829614</v>
      </c>
      <c r="E1549">
        <v>5.0645639234895033E-2</v>
      </c>
      <c r="F1549">
        <v>645.80073645315906</v>
      </c>
    </row>
    <row r="1550" spans="1:6" x14ac:dyDescent="0.3">
      <c r="A1550">
        <v>0.1</v>
      </c>
      <c r="B1550" t="s">
        <v>95</v>
      </c>
      <c r="C1550">
        <v>-0.36</v>
      </c>
      <c r="D1550">
        <v>-0.37688590118819004</v>
      </c>
      <c r="E1550">
        <v>5.0208576307430239E-2</v>
      </c>
      <c r="F1550">
        <v>664.24427628939009</v>
      </c>
    </row>
    <row r="1551" spans="1:6" x14ac:dyDescent="0.3">
      <c r="A1551">
        <v>0.1</v>
      </c>
      <c r="B1551" t="s">
        <v>95</v>
      </c>
      <c r="C1551">
        <v>-0.35</v>
      </c>
      <c r="D1551">
        <v>-0.36544375427139619</v>
      </c>
      <c r="E1551">
        <v>4.9761347057336813E-2</v>
      </c>
      <c r="F1551">
        <v>683.62274819230117</v>
      </c>
    </row>
    <row r="1552" spans="1:6" x14ac:dyDescent="0.3">
      <c r="A1552">
        <v>0.1</v>
      </c>
      <c r="B1552" t="s">
        <v>95</v>
      </c>
      <c r="C1552">
        <v>-0.34</v>
      </c>
      <c r="D1552">
        <v>-0.35409252896224297</v>
      </c>
      <c r="E1552">
        <v>4.9303380295318069E-2</v>
      </c>
      <c r="F1552">
        <v>704.01533740448178</v>
      </c>
    </row>
    <row r="1553" spans="1:6" x14ac:dyDescent="0.3">
      <c r="A1553">
        <v>0.1</v>
      </c>
      <c r="B1553" t="s">
        <v>95</v>
      </c>
      <c r="C1553">
        <v>-0.33</v>
      </c>
      <c r="D1553">
        <v>-0.34282825441539394</v>
      </c>
      <c r="E1553">
        <v>4.8834090914556413E-2</v>
      </c>
      <c r="F1553">
        <v>725.51026945737692</v>
      </c>
    </row>
    <row r="1554" spans="1:6" x14ac:dyDescent="0.3">
      <c r="A1554">
        <v>0.1</v>
      </c>
      <c r="B1554" t="s">
        <v>95</v>
      </c>
      <c r="C1554">
        <v>-0.32</v>
      </c>
      <c r="D1554">
        <v>-0.3316471087051322</v>
      </c>
      <c r="E1554">
        <v>4.8352826064390717E-2</v>
      </c>
      <c r="F1554">
        <v>748.20630628705737</v>
      </c>
    </row>
    <row r="1555" spans="1:6" x14ac:dyDescent="0.3">
      <c r="A1555">
        <v>0.1</v>
      </c>
      <c r="B1555" t="s">
        <v>95</v>
      </c>
      <c r="C1555">
        <v>-0.31</v>
      </c>
      <c r="D1555">
        <v>-0.32054540930194608</v>
      </c>
      <c r="E1555">
        <v>4.7858925341093997E-2</v>
      </c>
      <c r="F1555">
        <v>772.2141710316622</v>
      </c>
    </row>
    <row r="1556" spans="1:6" x14ac:dyDescent="0.3">
      <c r="A1556">
        <v>0.1</v>
      </c>
      <c r="B1556" t="s">
        <v>95</v>
      </c>
      <c r="C1556">
        <v>-0.3</v>
      </c>
      <c r="D1556">
        <v>-0.30951960420311175</v>
      </c>
      <c r="E1556">
        <v>4.7351637680728934E-2</v>
      </c>
      <c r="F1556">
        <v>797.65870070106291</v>
      </c>
    </row>
    <row r="1557" spans="1:6" x14ac:dyDescent="0.3">
      <c r="A1557">
        <v>0.1</v>
      </c>
      <c r="B1557" t="s">
        <v>95</v>
      </c>
      <c r="C1557">
        <v>-0.28999999999999998</v>
      </c>
      <c r="D1557">
        <v>-0.29856626366017835</v>
      </c>
      <c r="E1557">
        <v>4.6830182741749327E-2</v>
      </c>
      <c r="F1557">
        <v>824.68094021902834</v>
      </c>
    </row>
    <row r="1558" spans="1:6" x14ac:dyDescent="0.3">
      <c r="A1558">
        <v>0.1</v>
      </c>
      <c r="B1558" t="s">
        <v>95</v>
      </c>
      <c r="C1558">
        <v>-0.28000000000000003</v>
      </c>
      <c r="D1558">
        <v>-0.2876820724517809</v>
      </c>
      <c r="E1558">
        <v>4.6293671966573774E-2</v>
      </c>
      <c r="F1558">
        <v>853.44115931794579</v>
      </c>
    </row>
    <row r="1559" spans="1:6" x14ac:dyDescent="0.3">
      <c r="A1559">
        <v>0.1</v>
      </c>
      <c r="B1559" t="s">
        <v>95</v>
      </c>
      <c r="C1559">
        <v>-0.27</v>
      </c>
      <c r="D1559">
        <v>-0.27686382265510007</v>
      </c>
      <c r="E1559">
        <v>4.5741201333519846E-2</v>
      </c>
      <c r="F1559">
        <v>884.12185499648308</v>
      </c>
    </row>
    <row r="1560" spans="1:6" x14ac:dyDescent="0.3">
      <c r="A1560">
        <v>0.1</v>
      </c>
      <c r="B1560" t="s">
        <v>95</v>
      </c>
      <c r="C1560">
        <v>-0.26</v>
      </c>
      <c r="D1560">
        <v>-0.26610840687365411</v>
      </c>
      <c r="E1560">
        <v>4.5171715243537809E-2</v>
      </c>
      <c r="F1560">
        <v>916.93232404992705</v>
      </c>
    </row>
    <row r="1561" spans="1:6" x14ac:dyDescent="0.3">
      <c r="A1561">
        <v>0.1</v>
      </c>
      <c r="B1561" t="s">
        <v>95</v>
      </c>
      <c r="C1561">
        <v>-0.25</v>
      </c>
      <c r="D1561">
        <v>-0.25541281188299536</v>
      </c>
      <c r="E1561">
        <v>4.4584116224751502E-2</v>
      </c>
      <c r="F1561">
        <v>952.11323935485871</v>
      </c>
    </row>
    <row r="1562" spans="1:6" x14ac:dyDescent="0.3">
      <c r="A1562">
        <v>0.1</v>
      </c>
      <c r="B1562" t="s">
        <v>95</v>
      </c>
      <c r="C1562">
        <v>-0.24</v>
      </c>
      <c r="D1562">
        <v>-0.24477411265935289</v>
      </c>
      <c r="E1562">
        <v>4.3977164249537883E-2</v>
      </c>
      <c r="F1562">
        <v>989.9432388226561</v>
      </c>
    </row>
    <row r="1563" spans="1:6" x14ac:dyDescent="0.3">
      <c r="A1563">
        <v>0.1</v>
      </c>
      <c r="B1563" t="s">
        <v>95</v>
      </c>
      <c r="C1563">
        <v>-0.23</v>
      </c>
      <c r="D1563">
        <v>-0.23418946675936678</v>
      </c>
      <c r="E1563">
        <v>4.3349513660886831E-2</v>
      </c>
      <c r="F1563">
        <v>1030.7464882851712</v>
      </c>
    </row>
    <row r="1564" spans="1:6" x14ac:dyDescent="0.3">
      <c r="A1564">
        <v>0.1</v>
      </c>
      <c r="B1564" t="s">
        <v>95</v>
      </c>
      <c r="C1564">
        <v>-0.22</v>
      </c>
      <c r="D1564">
        <v>-0.22365610902183239</v>
      </c>
      <c r="E1564">
        <v>4.2699677586645293E-2</v>
      </c>
      <c r="F1564">
        <v>1074.9025427873426</v>
      </c>
    </row>
    <row r="1565" spans="1:6" x14ac:dyDescent="0.3">
      <c r="A1565">
        <v>0.1</v>
      </c>
      <c r="B1565" t="s">
        <v>95</v>
      </c>
      <c r="C1565">
        <v>-0.21</v>
      </c>
      <c r="D1565">
        <v>-0.21317134656485975</v>
      </c>
      <c r="E1565">
        <v>4.2025981919618385E-2</v>
      </c>
      <c r="F1565">
        <v>1122.8589313757154</v>
      </c>
    </row>
    <row r="1566" spans="1:6" x14ac:dyDescent="0.3">
      <c r="A1566">
        <v>0.1</v>
      </c>
      <c r="B1566" t="s">
        <v>95</v>
      </c>
      <c r="C1566">
        <v>-0.2</v>
      </c>
      <c r="D1566">
        <v>-0.20273255405408214</v>
      </c>
      <c r="E1566">
        <v>4.1326579847933677E-2</v>
      </c>
      <c r="F1566">
        <v>1175.1469163901527</v>
      </c>
    </row>
    <row r="1567" spans="1:6" x14ac:dyDescent="0.3">
      <c r="A1567">
        <v>0.1</v>
      </c>
      <c r="B1567" t="s">
        <v>95</v>
      </c>
      <c r="C1567">
        <v>-0.19</v>
      </c>
      <c r="D1567">
        <v>-0.1923371692195453</v>
      </c>
      <c r="E1567">
        <v>4.0599411942662235E-2</v>
      </c>
      <c r="F1567">
        <v>1232.4022388765668</v>
      </c>
    </row>
    <row r="1568" spans="1:6" x14ac:dyDescent="0.3">
      <c r="A1568">
        <v>0.1</v>
      </c>
      <c r="B1568" t="s">
        <v>95</v>
      </c>
      <c r="C1568">
        <v>-0.18</v>
      </c>
      <c r="D1568">
        <v>-0.18198268860070579</v>
      </c>
      <c r="E1568">
        <v>3.9842116155942749E-2</v>
      </c>
      <c r="F1568">
        <v>1295.3927086319545</v>
      </c>
    </row>
    <row r="1569" spans="1:6" x14ac:dyDescent="0.3">
      <c r="A1569">
        <v>0.1</v>
      </c>
      <c r="B1569" t="s">
        <v>95</v>
      </c>
      <c r="C1569">
        <v>-0.17</v>
      </c>
      <c r="D1569">
        <v>-0.17166666350057908</v>
      </c>
      <c r="E1569">
        <v>3.9052054265638105E-2</v>
      </c>
      <c r="F1569">
        <v>1365.0539684492092</v>
      </c>
    </row>
    <row r="1570" spans="1:6" x14ac:dyDescent="0.3">
      <c r="A1570">
        <v>0.1</v>
      </c>
      <c r="B1570" t="s">
        <v>95</v>
      </c>
      <c r="C1570">
        <v>-0.16</v>
      </c>
      <c r="D1570">
        <v>-0.16138669613152551</v>
      </c>
      <c r="E1570">
        <v>3.8226178791627125E-2</v>
      </c>
      <c r="F1570">
        <v>1442.5390405850439</v>
      </c>
    </row>
    <row r="1571" spans="1:6" x14ac:dyDescent="0.3">
      <c r="A1571">
        <v>0.1</v>
      </c>
      <c r="B1571" t="s">
        <v>95</v>
      </c>
      <c r="C1571">
        <v>-0.15</v>
      </c>
      <c r="D1571">
        <v>-0.15114043593646675</v>
      </c>
      <c r="E1571">
        <v>3.7360991123291318E-2</v>
      </c>
      <c r="F1571">
        <v>1529.2854412420124</v>
      </c>
    </row>
    <row r="1572" spans="1:6" x14ac:dyDescent="0.3">
      <c r="A1572">
        <v>0.1</v>
      </c>
      <c r="B1572" t="s">
        <v>95</v>
      </c>
      <c r="C1572">
        <v>-0.14000000000000001</v>
      </c>
      <c r="D1572">
        <v>-0.14092557607049394</v>
      </c>
      <c r="E1572">
        <v>3.6452453774766434E-2</v>
      </c>
      <c r="F1572">
        <v>1627.1092620859426</v>
      </c>
    </row>
    <row r="1573" spans="1:6" x14ac:dyDescent="0.3">
      <c r="A1573">
        <v>0.1</v>
      </c>
      <c r="B1573" t="s">
        <v>95</v>
      </c>
      <c r="C1573">
        <v>-0.13</v>
      </c>
      <c r="D1573">
        <v>-0.13073985002887836</v>
      </c>
      <c r="E1573">
        <v>3.5495783566130396E-2</v>
      </c>
      <c r="F1573">
        <v>1738.3406309443853</v>
      </c>
    </row>
    <row r="1574" spans="1:6" x14ac:dyDescent="0.3">
      <c r="A1574">
        <v>0.1</v>
      </c>
      <c r="B1574" t="s">
        <v>95</v>
      </c>
      <c r="C1574">
        <v>-0.12</v>
      </c>
      <c r="D1574">
        <v>-0.12058102840844405</v>
      </c>
      <c r="E1574">
        <v>3.4485353225073193E-2</v>
      </c>
      <c r="F1574">
        <v>1866.0198470193391</v>
      </c>
    </row>
    <row r="1575" spans="1:6" x14ac:dyDescent="0.3">
      <c r="A1575">
        <v>0.1</v>
      </c>
      <c r="B1575" t="s">
        <v>95</v>
      </c>
      <c r="C1575">
        <v>-0.11</v>
      </c>
      <c r="D1575">
        <v>-0.1104469157900972</v>
      </c>
      <c r="E1575">
        <v>3.3414353519036634E-2</v>
      </c>
      <c r="F1575">
        <v>2014.1945338524472</v>
      </c>
    </row>
    <row r="1576" spans="1:6" x14ac:dyDescent="0.3">
      <c r="A1576">
        <v>0.1</v>
      </c>
      <c r="B1576" t="s">
        <v>95</v>
      </c>
      <c r="C1576">
        <v>-0.1</v>
      </c>
      <c r="D1576">
        <v>-0.10033534773107562</v>
      </c>
      <c r="E1576">
        <v>3.2274511097854751E-2</v>
      </c>
      <c r="F1576">
        <v>2188.3775888486803</v>
      </c>
    </row>
    <row r="1577" spans="1:6" x14ac:dyDescent="0.3">
      <c r="A1577">
        <v>0.1</v>
      </c>
      <c r="B1577" t="s">
        <v>95</v>
      </c>
      <c r="C1577">
        <v>-0.09</v>
      </c>
      <c r="D1577">
        <v>-9.0244187856146837E-2</v>
      </c>
      <c r="E1577">
        <v>3.105551525472483E-2</v>
      </c>
      <c r="F1577">
        <v>2396.2856584748083</v>
      </c>
    </row>
    <row r="1578" spans="1:6" x14ac:dyDescent="0.3">
      <c r="A1578">
        <v>0.1</v>
      </c>
      <c r="B1578" t="s">
        <v>95</v>
      </c>
      <c r="C1578">
        <v>-0.08</v>
      </c>
      <c r="D1578">
        <v>-8.0171325037589683E-2</v>
      </c>
      <c r="E1578">
        <v>2.9744253851324471E-2</v>
      </c>
      <c r="F1578">
        <v>2649.0769480606923</v>
      </c>
    </row>
    <row r="1579" spans="1:6" x14ac:dyDescent="0.3">
      <c r="A1579">
        <v>0.1</v>
      </c>
      <c r="B1579" t="s">
        <v>95</v>
      </c>
      <c r="C1579">
        <v>-7.0000000000000007E-2</v>
      </c>
      <c r="D1579">
        <v>-7.0114670654325195E-2</v>
      </c>
      <c r="E1579">
        <v>2.832362714260429E-2</v>
      </c>
      <c r="F1579">
        <v>2963.5385734716078</v>
      </c>
    </row>
    <row r="1580" spans="1:6" x14ac:dyDescent="0.3">
      <c r="A1580">
        <v>0.1</v>
      </c>
      <c r="B1580" t="s">
        <v>95</v>
      </c>
      <c r="C1580">
        <v>-0.06</v>
      </c>
      <c r="D1580">
        <v>-6.007215592103167E-2</v>
      </c>
      <c r="E1580">
        <v>2.6770508063583682E-2</v>
      </c>
      <c r="F1580">
        <v>3366.2116910530663</v>
      </c>
    </row>
    <row r="1581" spans="1:6" x14ac:dyDescent="0.3">
      <c r="A1581">
        <v>0.1</v>
      </c>
      <c r="B1581" t="s">
        <v>95</v>
      </c>
      <c r="C1581">
        <v>-0.05</v>
      </c>
      <c r="D1581">
        <v>-5.0041729278491327E-2</v>
      </c>
      <c r="E1581">
        <v>2.5052277964437413E-2</v>
      </c>
      <c r="F1581">
        <v>3901.8220810878256</v>
      </c>
    </row>
    <row r="1582" spans="1:6" x14ac:dyDescent="0.3">
      <c r="A1582">
        <v>0.1</v>
      </c>
      <c r="B1582" t="s">
        <v>95</v>
      </c>
      <c r="C1582">
        <v>-0.04</v>
      </c>
      <c r="D1582">
        <v>-4.0021353836768248E-2</v>
      </c>
      <c r="E1582">
        <v>2.3120046474581265E-2</v>
      </c>
      <c r="F1582">
        <v>4652.47326987221</v>
      </c>
    </row>
    <row r="1583" spans="1:6" x14ac:dyDescent="0.3">
      <c r="A1583">
        <v>0.1</v>
      </c>
      <c r="B1583" t="s">
        <v>95</v>
      </c>
      <c r="C1583">
        <v>-0.03</v>
      </c>
      <c r="D1583">
        <v>-3.000900486312652E-2</v>
      </c>
      <c r="E1583">
        <v>2.089417003733916E-2</v>
      </c>
      <c r="F1583">
        <v>5788.3231087825534</v>
      </c>
    </row>
    <row r="1584" spans="1:6" x14ac:dyDescent="0.3">
      <c r="A1584">
        <v>0.1</v>
      </c>
      <c r="B1584" t="s">
        <v>95</v>
      </c>
      <c r="C1584">
        <v>-0.02</v>
      </c>
      <c r="D1584">
        <v>-2.0002667306849624E-2</v>
      </c>
      <c r="E1584">
        <v>1.8226690339894935E-2</v>
      </c>
      <c r="F1584">
        <v>7735.0241273418915</v>
      </c>
    </row>
    <row r="1585" spans="1:6" x14ac:dyDescent="0.3">
      <c r="A1585">
        <v>0.1</v>
      </c>
      <c r="B1585" t="s">
        <v>95</v>
      </c>
      <c r="C1585">
        <v>-0.01</v>
      </c>
      <c r="D1585">
        <v>-1.0000333353334771E-2</v>
      </c>
      <c r="E1585">
        <v>1.4769420459818381E-2</v>
      </c>
      <c r="F1585">
        <v>11994.023937035779</v>
      </c>
    </row>
    <row r="1586" spans="1:6" x14ac:dyDescent="0.3">
      <c r="A1586">
        <v>0.05</v>
      </c>
      <c r="B1586" t="s">
        <v>95</v>
      </c>
      <c r="C1586">
        <v>-0.99</v>
      </c>
      <c r="D1586">
        <v>-2.6466524123622457</v>
      </c>
      <c r="E1586">
        <v>8.6805571351844121E-2</v>
      </c>
      <c r="F1586">
        <v>100.80132649313497</v>
      </c>
    </row>
    <row r="1587" spans="1:6" x14ac:dyDescent="0.3">
      <c r="A1587">
        <v>0.05</v>
      </c>
      <c r="B1587" t="s">
        <v>95</v>
      </c>
      <c r="C1587">
        <v>-0.98</v>
      </c>
      <c r="D1587">
        <v>-2.2975599250672945</v>
      </c>
      <c r="E1587">
        <v>8.5589768755550633E-2</v>
      </c>
      <c r="F1587">
        <v>115.38770610356424</v>
      </c>
    </row>
    <row r="1588" spans="1:6" x14ac:dyDescent="0.3">
      <c r="A1588">
        <v>0.05</v>
      </c>
      <c r="B1588" t="s">
        <v>95</v>
      </c>
      <c r="C1588">
        <v>-0.97</v>
      </c>
      <c r="D1588">
        <v>-2.0922957200349388</v>
      </c>
      <c r="E1588">
        <v>8.4721308008313068E-2</v>
      </c>
      <c r="F1588">
        <v>126.19358542596322</v>
      </c>
    </row>
    <row r="1589" spans="1:6" x14ac:dyDescent="0.3">
      <c r="A1589">
        <v>0.05</v>
      </c>
      <c r="B1589" t="s">
        <v>95</v>
      </c>
      <c r="C1589">
        <v>-0.96</v>
      </c>
      <c r="D1589">
        <v>-1.9459101490553128</v>
      </c>
      <c r="E1589">
        <v>8.4012340625041593E-2</v>
      </c>
      <c r="F1589">
        <v>135.26447272979794</v>
      </c>
    </row>
    <row r="1590" spans="1:6" x14ac:dyDescent="0.3">
      <c r="A1590">
        <v>0.05</v>
      </c>
      <c r="B1590" t="s">
        <v>95</v>
      </c>
      <c r="C1590">
        <v>-0.95</v>
      </c>
      <c r="D1590">
        <v>-1.8317808230648227</v>
      </c>
      <c r="E1590">
        <v>8.3397351400782568E-2</v>
      </c>
      <c r="F1590">
        <v>143.32114970990224</v>
      </c>
    </row>
    <row r="1591" spans="1:6" x14ac:dyDescent="0.3">
      <c r="A1591">
        <v>0.05</v>
      </c>
      <c r="B1591" t="s">
        <v>95</v>
      </c>
      <c r="C1591">
        <v>-0.94</v>
      </c>
      <c r="D1591">
        <v>-1.7380493449176362</v>
      </c>
      <c r="E1591">
        <v>8.2844920476942058E-2</v>
      </c>
      <c r="F1591">
        <v>150.71181940246481</v>
      </c>
    </row>
    <row r="1592" spans="1:6" x14ac:dyDescent="0.3">
      <c r="A1592">
        <v>0.05</v>
      </c>
      <c r="B1592" t="s">
        <v>95</v>
      </c>
      <c r="C1592">
        <v>-0.93</v>
      </c>
      <c r="D1592">
        <v>-1.6583900199247865</v>
      </c>
      <c r="E1592">
        <v>8.2337277658033073E-2</v>
      </c>
      <c r="F1592">
        <v>157.63464845764074</v>
      </c>
    </row>
    <row r="1593" spans="1:6" x14ac:dyDescent="0.3">
      <c r="A1593">
        <v>0.05</v>
      </c>
      <c r="B1593" t="s">
        <v>95</v>
      </c>
      <c r="C1593">
        <v>-0.92</v>
      </c>
      <c r="D1593">
        <v>-1.5890269151739731</v>
      </c>
      <c r="E1593">
        <v>8.1863340165944848E-2</v>
      </c>
      <c r="F1593">
        <v>164.21466691675622</v>
      </c>
    </row>
    <row r="1594" spans="1:6" x14ac:dyDescent="0.3">
      <c r="A1594">
        <v>0.05</v>
      </c>
      <c r="B1594" t="s">
        <v>95</v>
      </c>
      <c r="C1594">
        <v>-0.91</v>
      </c>
      <c r="D1594">
        <v>-1.5275244253552054</v>
      </c>
      <c r="E1594">
        <v>8.1415605902133037E-2</v>
      </c>
      <c r="F1594">
        <v>170.53668704179034</v>
      </c>
    </row>
    <row r="1595" spans="1:6" x14ac:dyDescent="0.3">
      <c r="A1595">
        <v>0.05</v>
      </c>
      <c r="B1595" t="s">
        <v>95</v>
      </c>
      <c r="C1595">
        <v>-0.9</v>
      </c>
      <c r="D1595">
        <v>-1.4722194895832204</v>
      </c>
      <c r="E1595">
        <v>8.0988769466885158E-2</v>
      </c>
      <c r="F1595">
        <v>176.66141180710127</v>
      </c>
    </row>
    <row r="1596" spans="1:6" x14ac:dyDescent="0.3">
      <c r="A1596">
        <v>0.05</v>
      </c>
      <c r="B1596" t="s">
        <v>95</v>
      </c>
      <c r="C1596">
        <v>-0.89</v>
      </c>
      <c r="D1596">
        <v>-1.421925871130636</v>
      </c>
      <c r="E1596">
        <v>8.0578927959775101E-2</v>
      </c>
      <c r="F1596">
        <v>182.63416420460939</v>
      </c>
    </row>
    <row r="1597" spans="1:6" x14ac:dyDescent="0.3">
      <c r="A1597">
        <v>0.05</v>
      </c>
      <c r="B1597" t="s">
        <v>95</v>
      </c>
      <c r="C1597">
        <v>-0.88</v>
      </c>
      <c r="D1597">
        <v>-1.3757676565209744</v>
      </c>
      <c r="E1597">
        <v>8.0183080919972338E-2</v>
      </c>
      <c r="F1597">
        <v>188.48998660016343</v>
      </c>
    </row>
    <row r="1598" spans="1:6" x14ac:dyDescent="0.3">
      <c r="A1598">
        <v>0.05</v>
      </c>
      <c r="B1598" t="s">
        <v>95</v>
      </c>
      <c r="C1598">
        <v>-0.87</v>
      </c>
      <c r="D1598">
        <v>-1.333079629696525</v>
      </c>
      <c r="E1598">
        <v>7.9798918244169709E-2</v>
      </c>
      <c r="F1598">
        <v>194.25674899283169</v>
      </c>
    </row>
    <row r="1599" spans="1:6" x14ac:dyDescent="0.3">
      <c r="A1599">
        <v>0.05</v>
      </c>
      <c r="B1599" t="s">
        <v>95</v>
      </c>
      <c r="C1599">
        <v>-0.86</v>
      </c>
      <c r="D1599">
        <v>-1.2933446720489712</v>
      </c>
      <c r="E1599">
        <v>7.9424532272645149E-2</v>
      </c>
      <c r="F1599">
        <v>199.95721900662147</v>
      </c>
    </row>
    <row r="1600" spans="1:6" x14ac:dyDescent="0.3">
      <c r="A1600">
        <v>0.05</v>
      </c>
      <c r="B1600" t="s">
        <v>95</v>
      </c>
      <c r="C1600">
        <v>-0.85</v>
      </c>
      <c r="D1600">
        <v>-1.2561528119880574</v>
      </c>
      <c r="E1600">
        <v>7.9058429388904963E-2</v>
      </c>
      <c r="F1600">
        <v>205.61036667893254</v>
      </c>
    </row>
    <row r="1601" spans="1:6" x14ac:dyDescent="0.3">
      <c r="A1601">
        <v>0.05</v>
      </c>
      <c r="B1601" t="s">
        <v>95</v>
      </c>
      <c r="C1601">
        <v>-0.84</v>
      </c>
      <c r="D1601">
        <v>-1.2211735176846021</v>
      </c>
      <c r="E1601">
        <v>7.8699296209943301E-2</v>
      </c>
      <c r="F1601">
        <v>211.23237411049533</v>
      </c>
    </row>
    <row r="1602" spans="1:6" x14ac:dyDescent="0.3">
      <c r="A1602">
        <v>0.05</v>
      </c>
      <c r="B1602" t="s">
        <v>95</v>
      </c>
      <c r="C1602">
        <v>-0.83</v>
      </c>
      <c r="D1602">
        <v>-1.1881364043926024</v>
      </c>
      <c r="E1602">
        <v>7.8346094749750503E-2</v>
      </c>
      <c r="F1602">
        <v>216.83723917539135</v>
      </c>
    </row>
    <row r="1603" spans="1:6" x14ac:dyDescent="0.3">
      <c r="A1603">
        <v>0.05</v>
      </c>
      <c r="B1603" t="s">
        <v>95</v>
      </c>
      <c r="C1603">
        <v>-0.82</v>
      </c>
      <c r="D1603">
        <v>-1.1568174645903151</v>
      </c>
      <c r="E1603">
        <v>7.7997913806871863E-2</v>
      </c>
      <c r="F1603">
        <v>222.4373153829147</v>
      </c>
    </row>
    <row r="1604" spans="1:6" x14ac:dyDescent="0.3">
      <c r="A1604">
        <v>0.05</v>
      </c>
      <c r="B1604" t="s">
        <v>95</v>
      </c>
      <c r="C1604">
        <v>-0.81</v>
      </c>
      <c r="D1604">
        <v>-1.1270290260496929</v>
      </c>
      <c r="E1604">
        <v>7.765393356541582E-2</v>
      </c>
      <c r="F1604">
        <v>228.04368416991133</v>
      </c>
    </row>
    <row r="1605" spans="1:6" x14ac:dyDescent="0.3">
      <c r="A1605">
        <v>0.05</v>
      </c>
      <c r="B1605" t="s">
        <v>95</v>
      </c>
      <c r="C1605">
        <v>-0.8</v>
      </c>
      <c r="D1605">
        <v>-1.0986122886681098</v>
      </c>
      <c r="E1605">
        <v>7.7313494447692352E-2</v>
      </c>
      <c r="F1605">
        <v>233.6663875387508</v>
      </c>
    </row>
    <row r="1606" spans="1:6" x14ac:dyDescent="0.3">
      <c r="A1606">
        <v>0.05</v>
      </c>
      <c r="B1606" t="s">
        <v>95</v>
      </c>
      <c r="C1606">
        <v>-0.79</v>
      </c>
      <c r="D1606">
        <v>-1.0714316840586662</v>
      </c>
      <c r="E1606">
        <v>7.6975970358697507E-2</v>
      </c>
      <c r="F1606">
        <v>239.31470174008032</v>
      </c>
    </row>
    <row r="1607" spans="1:6" x14ac:dyDescent="0.3">
      <c r="A1607">
        <v>0.05</v>
      </c>
      <c r="B1607" t="s">
        <v>95</v>
      </c>
      <c r="C1607">
        <v>-0.78</v>
      </c>
      <c r="D1607">
        <v>-1.0453705484668847</v>
      </c>
      <c r="E1607">
        <v>7.6640821853720648E-2</v>
      </c>
      <c r="F1607">
        <v>244.99727444484753</v>
      </c>
    </row>
    <row r="1608" spans="1:6" x14ac:dyDescent="0.3">
      <c r="A1608">
        <v>0.05</v>
      </c>
      <c r="B1608" t="s">
        <v>95</v>
      </c>
      <c r="C1608">
        <v>-0.77</v>
      </c>
      <c r="D1608">
        <v>-1.0203277583223398</v>
      </c>
      <c r="E1608">
        <v>7.6307544744259465E-2</v>
      </c>
      <c r="F1608">
        <v>250.72228554301327</v>
      </c>
    </row>
    <row r="1609" spans="1:6" x14ac:dyDescent="0.3">
      <c r="A1609">
        <v>0.05</v>
      </c>
      <c r="B1609" t="s">
        <v>95</v>
      </c>
      <c r="C1609">
        <v>-0.76</v>
      </c>
      <c r="D1609">
        <v>-0.99621508234510314</v>
      </c>
      <c r="E1609">
        <v>7.5975729304829043E-2</v>
      </c>
      <c r="F1609">
        <v>256.49751992894306</v>
      </c>
    </row>
    <row r="1610" spans="1:6" x14ac:dyDescent="0.3">
      <c r="A1610">
        <v>0.05</v>
      </c>
      <c r="B1610" t="s">
        <v>95</v>
      </c>
      <c r="C1610">
        <v>-0.75</v>
      </c>
      <c r="D1610">
        <v>-0.97295507452765673</v>
      </c>
      <c r="E1610">
        <v>7.5644944061531202E-2</v>
      </c>
      <c r="F1610">
        <v>262.33052674361352</v>
      </c>
    </row>
    <row r="1611" spans="1:6" x14ac:dyDescent="0.3">
      <c r="A1611">
        <v>0.05</v>
      </c>
      <c r="B1611" t="s">
        <v>95</v>
      </c>
      <c r="C1611">
        <v>-0.74</v>
      </c>
      <c r="D1611">
        <v>-0.95047938059652348</v>
      </c>
      <c r="E1611">
        <v>7.5314812189954117E-2</v>
      </c>
      <c r="F1611">
        <v>268.22865055039267</v>
      </c>
    </row>
    <row r="1612" spans="1:6" x14ac:dyDescent="0.3">
      <c r="A1612">
        <v>0.05</v>
      </c>
      <c r="B1612" t="s">
        <v>95</v>
      </c>
      <c r="C1612">
        <v>-0.73</v>
      </c>
      <c r="D1612">
        <v>-0.92872736424672497</v>
      </c>
      <c r="E1612">
        <v>7.4985011696774587E-2</v>
      </c>
      <c r="F1612">
        <v>274.19909430478083</v>
      </c>
    </row>
    <row r="1613" spans="1:6" x14ac:dyDescent="0.3">
      <c r="A1613">
        <v>0.05</v>
      </c>
      <c r="B1613" t="s">
        <v>95</v>
      </c>
      <c r="C1613">
        <v>-0.72</v>
      </c>
      <c r="D1613">
        <v>-0.90764498331912458</v>
      </c>
      <c r="E1613">
        <v>7.4655188652631155E-2</v>
      </c>
      <c r="F1613">
        <v>280.24903462644875</v>
      </c>
    </row>
    <row r="1614" spans="1:6" x14ac:dyDescent="0.3">
      <c r="A1614">
        <v>0.05</v>
      </c>
      <c r="B1614" t="s">
        <v>95</v>
      </c>
      <c r="C1614">
        <v>-0.71</v>
      </c>
      <c r="D1614">
        <v>-0.88718386325809284</v>
      </c>
      <c r="E1614">
        <v>7.4325050123215983E-2</v>
      </c>
      <c r="F1614">
        <v>286.38561158883971</v>
      </c>
    </row>
    <row r="1615" spans="1:6" x14ac:dyDescent="0.3">
      <c r="A1615">
        <v>0.05</v>
      </c>
      <c r="B1615" t="s">
        <v>95</v>
      </c>
      <c r="C1615">
        <v>-0.7</v>
      </c>
      <c r="D1615">
        <v>-0.86730052769405308</v>
      </c>
      <c r="E1615">
        <v>7.3994314699388275E-2</v>
      </c>
      <c r="F1615">
        <v>292.61600784736163</v>
      </c>
    </row>
    <row r="1616" spans="1:6" x14ac:dyDescent="0.3">
      <c r="A1616">
        <v>0.05</v>
      </c>
      <c r="B1616" t="s">
        <v>95</v>
      </c>
      <c r="C1616">
        <v>-0.69</v>
      </c>
      <c r="D1616">
        <v>-0.84795575521896349</v>
      </c>
      <c r="E1616">
        <v>7.3662689153358357E-2</v>
      </c>
      <c r="F1616">
        <v>298.94751043857855</v>
      </c>
    </row>
    <row r="1617" spans="1:6" x14ac:dyDescent="0.3">
      <c r="A1617">
        <v>0.05</v>
      </c>
      <c r="B1617" t="s">
        <v>95</v>
      </c>
      <c r="C1617">
        <v>-0.68</v>
      </c>
      <c r="D1617">
        <v>-0.82911403830176633</v>
      </c>
      <c r="E1617">
        <v>7.3329906323536739E-2</v>
      </c>
      <c r="F1617">
        <v>305.38752482898474</v>
      </c>
    </row>
    <row r="1618" spans="1:6" x14ac:dyDescent="0.3">
      <c r="A1618">
        <v>0.05</v>
      </c>
      <c r="B1618" t="s">
        <v>95</v>
      </c>
      <c r="C1618">
        <v>-0.67</v>
      </c>
      <c r="D1618">
        <v>-0.81074312547513749</v>
      </c>
      <c r="E1618">
        <v>7.2995728850378694E-2</v>
      </c>
      <c r="F1618">
        <v>311.94360986251911</v>
      </c>
    </row>
    <row r="1619" spans="1:6" x14ac:dyDescent="0.3">
      <c r="A1619">
        <v>0.05</v>
      </c>
      <c r="B1619" t="s">
        <v>95</v>
      </c>
      <c r="C1619">
        <v>-0.66</v>
      </c>
      <c r="D1619">
        <v>-0.79281363187019105</v>
      </c>
      <c r="E1619">
        <v>7.2659888833854117E-2</v>
      </c>
      <c r="F1619">
        <v>318.6235648846735</v>
      </c>
    </row>
    <row r="1620" spans="1:6" x14ac:dyDescent="0.3">
      <c r="A1620">
        <v>0.05</v>
      </c>
      <c r="B1620" t="s">
        <v>95</v>
      </c>
      <c r="C1620">
        <v>-0.65</v>
      </c>
      <c r="D1620">
        <v>-0.7752987062055835</v>
      </c>
      <c r="E1620">
        <v>7.2322138565784372E-2</v>
      </c>
      <c r="F1620">
        <v>325.43542937180104</v>
      </c>
    </row>
    <row r="1621" spans="1:6" x14ac:dyDescent="0.3">
      <c r="A1621">
        <v>0.05</v>
      </c>
      <c r="B1621" t="s">
        <v>95</v>
      </c>
      <c r="C1621">
        <v>-0.64</v>
      </c>
      <c r="D1621">
        <v>-0.7581737446840443</v>
      </c>
      <c r="E1621">
        <v>7.1982259758072653E-2</v>
      </c>
      <c r="F1621">
        <v>332.38751226750645</v>
      </c>
    </row>
    <row r="1622" spans="1:6" x14ac:dyDescent="0.3">
      <c r="A1622">
        <v>0.05</v>
      </c>
      <c r="B1622" t="s">
        <v>95</v>
      </c>
      <c r="C1622">
        <v>-0.63</v>
      </c>
      <c r="D1622">
        <v>-0.74141614408126888</v>
      </c>
      <c r="E1622">
        <v>7.1639991247111845E-2</v>
      </c>
      <c r="F1622">
        <v>339.48849548763502</v>
      </c>
    </row>
    <row r="1623" spans="1:6" x14ac:dyDescent="0.3">
      <c r="A1623">
        <v>0.05</v>
      </c>
      <c r="B1623" t="s">
        <v>95</v>
      </c>
      <c r="C1623">
        <v>-0.62</v>
      </c>
      <c r="D1623">
        <v>-0.72500508775299921</v>
      </c>
      <c r="E1623">
        <v>7.1295110654948229E-2</v>
      </c>
      <c r="F1623">
        <v>346.74740465326164</v>
      </c>
    </row>
    <row r="1624" spans="1:6" x14ac:dyDescent="0.3">
      <c r="A1624">
        <v>0.05</v>
      </c>
      <c r="B1624" t="s">
        <v>95</v>
      </c>
      <c r="C1624">
        <v>-0.61</v>
      </c>
      <c r="D1624">
        <v>-0.7089213594274083</v>
      </c>
      <c r="E1624">
        <v>7.0947389587217718E-2</v>
      </c>
      <c r="F1624">
        <v>354.17369166741406</v>
      </c>
    </row>
    <row r="1625" spans="1:6" x14ac:dyDescent="0.3">
      <c r="A1625">
        <v>0.05</v>
      </c>
      <c r="B1625" t="s">
        <v>95</v>
      </c>
      <c r="C1625">
        <v>-0.6</v>
      </c>
      <c r="D1625">
        <v>-0.69314718055994529</v>
      </c>
      <c r="E1625">
        <v>7.0596570794019278E-2</v>
      </c>
      <c r="F1625">
        <v>361.77730516883469</v>
      </c>
    </row>
    <row r="1626" spans="1:6" x14ac:dyDescent="0.3">
      <c r="A1626">
        <v>0.05</v>
      </c>
      <c r="B1626" t="s">
        <v>95</v>
      </c>
      <c r="C1626">
        <v>-0.59</v>
      </c>
      <c r="D1626">
        <v>-0.67766606775796179</v>
      </c>
      <c r="E1626">
        <v>7.0242450231063194E-2</v>
      </c>
      <c r="F1626">
        <v>369.56865917159263</v>
      </c>
    </row>
    <row r="1627" spans="1:6" x14ac:dyDescent="0.3">
      <c r="A1627">
        <v>0.05</v>
      </c>
      <c r="B1627" t="s">
        <v>95</v>
      </c>
      <c r="C1627">
        <v>-0.57999999999999996</v>
      </c>
      <c r="D1627">
        <v>-0.66246270737179924</v>
      </c>
      <c r="E1627">
        <v>6.9884764747288136E-2</v>
      </c>
      <c r="F1627">
        <v>377.55879822707976</v>
      </c>
    </row>
    <row r="1628" spans="1:6" x14ac:dyDescent="0.3">
      <c r="A1628">
        <v>0.05</v>
      </c>
      <c r="B1628" t="s">
        <v>95</v>
      </c>
      <c r="C1628">
        <v>-0.56999999999999995</v>
      </c>
      <c r="D1628">
        <v>-0.64752284482737277</v>
      </c>
      <c r="E1628">
        <v>6.952328141209517E-2</v>
      </c>
      <c r="F1628">
        <v>385.75936530756195</v>
      </c>
    </row>
    <row r="1629" spans="1:6" x14ac:dyDescent="0.3">
      <c r="A1629">
        <v>0.05</v>
      </c>
      <c r="B1629" t="s">
        <v>95</v>
      </c>
      <c r="C1629">
        <v>-0.56000000000000005</v>
      </c>
      <c r="D1629">
        <v>-0.63283318666563804</v>
      </c>
      <c r="E1629">
        <v>6.9157757711068871E-2</v>
      </c>
      <c r="F1629">
        <v>394.18270419329838</v>
      </c>
    </row>
    <row r="1630" spans="1:6" x14ac:dyDescent="0.3">
      <c r="A1630">
        <v>0.05</v>
      </c>
      <c r="B1630" t="s">
        <v>95</v>
      </c>
      <c r="C1630">
        <v>-0.55000000000000004</v>
      </c>
      <c r="D1630">
        <v>-0.61838131357446346</v>
      </c>
      <c r="E1630">
        <v>6.8787943651543976E-2</v>
      </c>
      <c r="F1630">
        <v>402.84192605206221</v>
      </c>
    </row>
    <row r="1631" spans="1:6" x14ac:dyDescent="0.3">
      <c r="A1631">
        <v>0.05</v>
      </c>
      <c r="B1631" t="s">
        <v>95</v>
      </c>
      <c r="C1631">
        <v>-0.54</v>
      </c>
      <c r="D1631">
        <v>-0.60415560296226711</v>
      </c>
      <c r="E1631">
        <v>6.8413587941636114E-2</v>
      </c>
      <c r="F1631">
        <v>411.7509770050907</v>
      </c>
    </row>
    <row r="1632" spans="1:6" x14ac:dyDescent="0.3">
      <c r="A1632">
        <v>0.05</v>
      </c>
      <c r="B1632" t="s">
        <v>95</v>
      </c>
      <c r="C1632">
        <v>-0.53</v>
      </c>
      <c r="D1632">
        <v>-0.59014515984118854</v>
      </c>
      <c r="E1632">
        <v>6.8034418431077298E-2</v>
      </c>
      <c r="F1632">
        <v>420.92474395195745</v>
      </c>
    </row>
    <row r="1633" spans="1:6" x14ac:dyDescent="0.3">
      <c r="A1633">
        <v>0.05</v>
      </c>
      <c r="B1633" t="s">
        <v>95</v>
      </c>
      <c r="C1633">
        <v>-0.52</v>
      </c>
      <c r="D1633">
        <v>-0.57633975496919276</v>
      </c>
      <c r="E1633">
        <v>6.7650191653374922E-2</v>
      </c>
      <c r="F1633">
        <v>430.37908347746941</v>
      </c>
    </row>
    <row r="1634" spans="1:6" x14ac:dyDescent="0.3">
      <c r="A1634">
        <v>0.05</v>
      </c>
      <c r="B1634" t="s">
        <v>95</v>
      </c>
      <c r="C1634">
        <v>-0.51</v>
      </c>
      <c r="D1634">
        <v>-0.56272976935214891</v>
      </c>
      <c r="E1634">
        <v>6.7260593745746083E-2</v>
      </c>
      <c r="F1634">
        <v>440.13104775129324</v>
      </c>
    </row>
    <row r="1635" spans="1:6" x14ac:dyDescent="0.3">
      <c r="A1635">
        <v>0.05</v>
      </c>
      <c r="B1635" t="s">
        <v>95</v>
      </c>
      <c r="C1635">
        <v>-0.5</v>
      </c>
      <c r="D1635">
        <v>-0.54930614433405489</v>
      </c>
      <c r="E1635">
        <v>6.6865372105116685E-2</v>
      </c>
      <c r="F1635">
        <v>450.19882607125061</v>
      </c>
    </row>
    <row r="1636" spans="1:6" x14ac:dyDescent="0.3">
      <c r="A1636">
        <v>0.05</v>
      </c>
      <c r="B1636" t="s">
        <v>95</v>
      </c>
      <c r="C1636">
        <v>-0.49</v>
      </c>
      <c r="D1636">
        <v>-0.53606033661056662</v>
      </c>
      <c r="E1636">
        <v>6.6464207595810745E-2</v>
      </c>
      <c r="F1636">
        <v>460.60203669567886</v>
      </c>
    </row>
    <row r="1637" spans="1:6" x14ac:dyDescent="0.3">
      <c r="A1637">
        <v>0.05</v>
      </c>
      <c r="B1637" t="s">
        <v>95</v>
      </c>
      <c r="C1637">
        <v>-0.48</v>
      </c>
      <c r="D1637">
        <v>-0.5229842775913438</v>
      </c>
      <c r="E1637">
        <v>6.6056800657382203E-2</v>
      </c>
      <c r="F1637">
        <v>471.36175002741095</v>
      </c>
    </row>
    <row r="1638" spans="1:6" x14ac:dyDescent="0.3">
      <c r="A1638">
        <v>0.05</v>
      </c>
      <c r="B1638" t="s">
        <v>95</v>
      </c>
      <c r="C1638">
        <v>-0.47</v>
      </c>
      <c r="D1638">
        <v>-0.51007033661330725</v>
      </c>
      <c r="E1638">
        <v>6.5642822085180658E-2</v>
      </c>
      <c r="F1638">
        <v>482.50071185176563</v>
      </c>
    </row>
    <row r="1639" spans="1:6" x14ac:dyDescent="0.3">
      <c r="A1639">
        <v>0.05</v>
      </c>
      <c r="B1639" t="s">
        <v>95</v>
      </c>
      <c r="C1639">
        <v>-0.46</v>
      </c>
      <c r="D1639">
        <v>-0.49731128757203097</v>
      </c>
      <c r="E1639">
        <v>6.5221940192576169E-2</v>
      </c>
      <c r="F1639">
        <v>494.04347818844695</v>
      </c>
    </row>
    <row r="1640" spans="1:6" x14ac:dyDescent="0.3">
      <c r="A1640">
        <v>0.05</v>
      </c>
      <c r="B1640" t="s">
        <v>95</v>
      </c>
      <c r="C1640">
        <v>-0.45</v>
      </c>
      <c r="D1640">
        <v>-0.48470027859405168</v>
      </c>
      <c r="E1640">
        <v>6.4793828098331938E-2</v>
      </c>
      <c r="F1640">
        <v>506.01659576427681</v>
      </c>
    </row>
    <row r="1641" spans="1:6" x14ac:dyDescent="0.3">
      <c r="A1641">
        <v>0.05</v>
      </c>
      <c r="B1641" t="s">
        <v>95</v>
      </c>
      <c r="C1641">
        <v>-0.44</v>
      </c>
      <c r="D1641">
        <v>-0.47223080442042559</v>
      </c>
      <c r="E1641">
        <v>6.4358080557738923E-2</v>
      </c>
      <c r="F1641">
        <v>518.44896040646563</v>
      </c>
    </row>
    <row r="1642" spans="1:6" x14ac:dyDescent="0.3">
      <c r="A1642">
        <v>0.05</v>
      </c>
      <c r="B1642" t="s">
        <v>95</v>
      </c>
      <c r="C1642">
        <v>-0.43</v>
      </c>
      <c r="D1642">
        <v>-0.45989668121267852</v>
      </c>
      <c r="E1642">
        <v>6.3914331876464212E-2</v>
      </c>
      <c r="F1642">
        <v>531.37187548258771</v>
      </c>
    </row>
    <row r="1643" spans="1:6" x14ac:dyDescent="0.3">
      <c r="A1643">
        <v>0.05</v>
      </c>
      <c r="B1643" t="s">
        <v>95</v>
      </c>
      <c r="C1643">
        <v>-0.42</v>
      </c>
      <c r="D1643">
        <v>-0.4476920235274206</v>
      </c>
      <c r="E1643">
        <v>6.3462190447083955E-2</v>
      </c>
      <c r="F1643">
        <v>544.8194393816799</v>
      </c>
    </row>
    <row r="1644" spans="1:6" x14ac:dyDescent="0.3">
      <c r="A1644">
        <v>0.05</v>
      </c>
      <c r="B1644" t="s">
        <v>95</v>
      </c>
      <c r="C1644">
        <v>-0.41</v>
      </c>
      <c r="D1644">
        <v>-0.43561122323622431</v>
      </c>
      <c r="E1644">
        <v>6.3001194791686435E-2</v>
      </c>
      <c r="F1644">
        <v>558.8289562049365</v>
      </c>
    </row>
    <row r="1645" spans="1:6" x14ac:dyDescent="0.3">
      <c r="A1645">
        <v>0.05</v>
      </c>
      <c r="B1645" t="s">
        <v>95</v>
      </c>
      <c r="C1645">
        <v>-0.4</v>
      </c>
      <c r="D1645">
        <v>-0.42364893019360178</v>
      </c>
      <c r="E1645">
        <v>6.2530927953932142E-2</v>
      </c>
      <c r="F1645">
        <v>573.44109325538625</v>
      </c>
    </row>
    <row r="1646" spans="1:6" x14ac:dyDescent="0.3">
      <c r="A1646">
        <v>0.05</v>
      </c>
      <c r="B1646" t="s">
        <v>95</v>
      </c>
      <c r="C1646">
        <v>-0.39</v>
      </c>
      <c r="D1646">
        <v>-0.41180003447869035</v>
      </c>
      <c r="E1646">
        <v>6.2050885782314102E-2</v>
      </c>
      <c r="F1646">
        <v>588.70055540308761</v>
      </c>
    </row>
    <row r="1647" spans="1:6" x14ac:dyDescent="0.3">
      <c r="A1647">
        <v>0.05</v>
      </c>
      <c r="B1647" t="s">
        <v>95</v>
      </c>
      <c r="C1647">
        <v>-0.38</v>
      </c>
      <c r="D1647">
        <v>-0.40005965005605654</v>
      </c>
      <c r="E1647">
        <v>6.1560573442642992E-2</v>
      </c>
      <c r="F1647">
        <v>604.6563870492156</v>
      </c>
    </row>
    <row r="1648" spans="1:6" x14ac:dyDescent="0.3">
      <c r="A1648">
        <v>0.05</v>
      </c>
      <c r="B1648" t="s">
        <v>95</v>
      </c>
      <c r="C1648">
        <v>-0.37</v>
      </c>
      <c r="D1648">
        <v>-0.38842309971829614</v>
      </c>
      <c r="E1648">
        <v>6.1059479139275862E-2</v>
      </c>
      <c r="F1648">
        <v>621.3625790759254</v>
      </c>
    </row>
    <row r="1649" spans="1:6" x14ac:dyDescent="0.3">
      <c r="A1649">
        <v>0.05</v>
      </c>
      <c r="B1649" t="s">
        <v>95</v>
      </c>
      <c r="C1649">
        <v>-0.36</v>
      </c>
      <c r="D1649">
        <v>-0.37688590118819004</v>
      </c>
      <c r="E1649">
        <v>6.0546983403158255E-2</v>
      </c>
      <c r="F1649">
        <v>638.87893081060815</v>
      </c>
    </row>
    <row r="1650" spans="1:6" x14ac:dyDescent="0.3">
      <c r="A1650">
        <v>0.05</v>
      </c>
      <c r="B1650" t="s">
        <v>95</v>
      </c>
      <c r="C1650">
        <v>-0.35</v>
      </c>
      <c r="D1650">
        <v>-0.36544375427139619</v>
      </c>
      <c r="E1650">
        <v>6.0022520441362477E-2</v>
      </c>
      <c r="F1650">
        <v>657.27144344998987</v>
      </c>
    </row>
    <row r="1651" spans="1:6" x14ac:dyDescent="0.3">
      <c r="A1651">
        <v>0.05</v>
      </c>
      <c r="B1651" t="s">
        <v>95</v>
      </c>
      <c r="C1651">
        <v>-0.34</v>
      </c>
      <c r="D1651">
        <v>-0.35409252896224297</v>
      </c>
      <c r="E1651">
        <v>5.9485405286751787E-2</v>
      </c>
      <c r="F1651">
        <v>676.61360959741125</v>
      </c>
    </row>
    <row r="1652" spans="1:6" x14ac:dyDescent="0.3">
      <c r="A1652">
        <v>0.05</v>
      </c>
      <c r="B1652" t="s">
        <v>95</v>
      </c>
      <c r="C1652">
        <v>-0.33</v>
      </c>
      <c r="D1652">
        <v>-0.34282825441539394</v>
      </c>
      <c r="E1652">
        <v>5.893496122982915E-2</v>
      </c>
      <c r="F1652">
        <v>696.98714773571726</v>
      </c>
    </row>
    <row r="1653" spans="1:6" x14ac:dyDescent="0.3">
      <c r="A1653">
        <v>0.05</v>
      </c>
      <c r="B1653" t="s">
        <v>95</v>
      </c>
      <c r="C1653">
        <v>-0.32</v>
      </c>
      <c r="D1653">
        <v>-0.3316471087051322</v>
      </c>
      <c r="E1653">
        <v>5.8370449140268781E-2</v>
      </c>
      <c r="F1653">
        <v>718.48339673023179</v>
      </c>
    </row>
    <row r="1654" spans="1:6" x14ac:dyDescent="0.3">
      <c r="A1654">
        <v>0.05</v>
      </c>
      <c r="B1654" t="s">
        <v>95</v>
      </c>
      <c r="C1654">
        <v>-0.31</v>
      </c>
      <c r="D1654">
        <v>-0.32054540930194608</v>
      </c>
      <c r="E1654">
        <v>5.7791033132074378E-2</v>
      </c>
      <c r="F1654">
        <v>741.20487571915487</v>
      </c>
    </row>
    <row r="1655" spans="1:6" x14ac:dyDescent="0.3">
      <c r="A1655">
        <v>0.05</v>
      </c>
      <c r="B1655" t="s">
        <v>95</v>
      </c>
      <c r="C1655">
        <v>-0.3</v>
      </c>
      <c r="D1655">
        <v>-0.30951960420311175</v>
      </c>
      <c r="E1655">
        <v>5.7195873624193455E-2</v>
      </c>
      <c r="F1655">
        <v>765.26674107254257</v>
      </c>
    </row>
    <row r="1656" spans="1:6" x14ac:dyDescent="0.3">
      <c r="A1656">
        <v>0.05</v>
      </c>
      <c r="B1656" t="s">
        <v>95</v>
      </c>
      <c r="C1656">
        <v>-0.28999999999999998</v>
      </c>
      <c r="D1656">
        <v>-0.29856626366017835</v>
      </c>
      <c r="E1656">
        <v>5.6584014978026211E-2</v>
      </c>
      <c r="F1656">
        <v>790.79917903858166</v>
      </c>
    </row>
    <row r="1657" spans="1:6" x14ac:dyDescent="0.3">
      <c r="A1657">
        <v>0.05</v>
      </c>
      <c r="B1657" t="s">
        <v>95</v>
      </c>
      <c r="C1657">
        <v>-0.28000000000000003</v>
      </c>
      <c r="D1657">
        <v>-0.2876820724517809</v>
      </c>
      <c r="E1657">
        <v>5.5954463844216908E-2</v>
      </c>
      <c r="F1657">
        <v>817.94964427300363</v>
      </c>
    </row>
    <row r="1658" spans="1:6" x14ac:dyDescent="0.3">
      <c r="A1658">
        <v>0.05</v>
      </c>
      <c r="B1658" t="s">
        <v>95</v>
      </c>
      <c r="C1658">
        <v>-0.27</v>
      </c>
      <c r="D1658">
        <v>-0.27686382265510007</v>
      </c>
      <c r="E1658">
        <v>5.5306082422159154E-2</v>
      </c>
      <c r="F1658">
        <v>846.88622170428209</v>
      </c>
    </row>
    <row r="1659" spans="1:6" x14ac:dyDescent="0.3">
      <c r="A1659">
        <v>0.05</v>
      </c>
      <c r="B1659" t="s">
        <v>95</v>
      </c>
      <c r="C1659">
        <v>-0.26</v>
      </c>
      <c r="D1659">
        <v>-0.26610840687365411</v>
      </c>
      <c r="E1659">
        <v>5.4637698331022402E-2</v>
      </c>
      <c r="F1659">
        <v>877.80089657212034</v>
      </c>
    </row>
    <row r="1660" spans="1:6" x14ac:dyDescent="0.3">
      <c r="A1660">
        <v>0.05</v>
      </c>
      <c r="B1660" t="s">
        <v>95</v>
      </c>
      <c r="C1660">
        <v>-0.25</v>
      </c>
      <c r="D1660">
        <v>-0.25541281188299536</v>
      </c>
      <c r="E1660">
        <v>5.3947987066426874E-2</v>
      </c>
      <c r="F1660">
        <v>910.91445587131523</v>
      </c>
    </row>
    <row r="1661" spans="1:6" x14ac:dyDescent="0.3">
      <c r="A1661">
        <v>0.05</v>
      </c>
      <c r="B1661" t="s">
        <v>95</v>
      </c>
      <c r="C1661">
        <v>-0.24</v>
      </c>
      <c r="D1661">
        <v>-0.24477411265935289</v>
      </c>
      <c r="E1661">
        <v>5.3235479860529074E-2</v>
      </c>
      <c r="F1661">
        <v>946.48202699599892</v>
      </c>
    </row>
    <row r="1662" spans="1:6" x14ac:dyDescent="0.3">
      <c r="A1662">
        <v>0.05</v>
      </c>
      <c r="B1662" t="s">
        <v>95</v>
      </c>
      <c r="C1662">
        <v>-0.23</v>
      </c>
      <c r="D1662">
        <v>-0.23418946675936678</v>
      </c>
      <c r="E1662">
        <v>5.2498615727338202E-2</v>
      </c>
      <c r="F1662">
        <v>984.79973159797316</v>
      </c>
    </row>
    <row r="1663" spans="1:6" x14ac:dyDescent="0.3">
      <c r="A1663">
        <v>0.05</v>
      </c>
      <c r="B1663" t="s">
        <v>95</v>
      </c>
      <c r="C1663">
        <v>-0.22</v>
      </c>
      <c r="D1663">
        <v>-0.22365610902183239</v>
      </c>
      <c r="E1663">
        <v>5.1735634287622803E-2</v>
      </c>
      <c r="F1663">
        <v>1026.2137950276472</v>
      </c>
    </row>
    <row r="1664" spans="1:6" x14ac:dyDescent="0.3">
      <c r="A1664">
        <v>0.05</v>
      </c>
      <c r="B1664" t="s">
        <v>95</v>
      </c>
      <c r="C1664">
        <v>-0.21</v>
      </c>
      <c r="D1664">
        <v>-0.21317134656485975</v>
      </c>
      <c r="E1664">
        <v>5.094457597478759E-2</v>
      </c>
      <c r="F1664">
        <v>1071.1315389968086</v>
      </c>
    </row>
    <row r="1665" spans="1:6" x14ac:dyDescent="0.3">
      <c r="A1665">
        <v>0.05</v>
      </c>
      <c r="B1665" t="s">
        <v>95</v>
      </c>
      <c r="C1665">
        <v>-0.2</v>
      </c>
      <c r="D1665">
        <v>-0.20273255405408214</v>
      </c>
      <c r="E1665">
        <v>5.0123256054880792E-2</v>
      </c>
      <c r="F1665">
        <v>1120.0355567511838</v>
      </c>
    </row>
    <row r="1666" spans="1:6" x14ac:dyDescent="0.3">
      <c r="A1666">
        <v>0.05</v>
      </c>
      <c r="B1666" t="s">
        <v>95</v>
      </c>
      <c r="C1666">
        <v>-0.19</v>
      </c>
      <c r="D1666">
        <v>-0.1923371692195453</v>
      </c>
      <c r="E1666">
        <v>4.9269256134231415E-2</v>
      </c>
      <c r="F1666">
        <v>1173.5018944593392</v>
      </c>
    </row>
    <row r="1667" spans="1:6" x14ac:dyDescent="0.3">
      <c r="A1667">
        <v>0.05</v>
      </c>
      <c r="B1667" t="s">
        <v>95</v>
      </c>
      <c r="C1667">
        <v>-0.18</v>
      </c>
      <c r="D1667">
        <v>-0.18198268860070579</v>
      </c>
      <c r="E1667">
        <v>4.8379795329021841E-2</v>
      </c>
      <c r="F1667">
        <v>1232.2246185723168</v>
      </c>
    </row>
    <row r="1668" spans="1:6" x14ac:dyDescent="0.3">
      <c r="A1668">
        <v>0.05</v>
      </c>
      <c r="B1668" t="s">
        <v>95</v>
      </c>
      <c r="C1668">
        <v>-0.17</v>
      </c>
      <c r="D1668">
        <v>-0.17166666350057908</v>
      </c>
      <c r="E1668">
        <v>4.7451788247918583E-2</v>
      </c>
      <c r="F1668">
        <v>1297.0470010474576</v>
      </c>
    </row>
    <row r="1669" spans="1:6" x14ac:dyDescent="0.3">
      <c r="A1669">
        <v>0.05</v>
      </c>
      <c r="B1669" t="s">
        <v>95</v>
      </c>
      <c r="C1669">
        <v>-0.16</v>
      </c>
      <c r="D1669">
        <v>-0.16138669613152551</v>
      </c>
      <c r="E1669">
        <v>4.648164801285122E-2</v>
      </c>
      <c r="F1669">
        <v>1369.0053641401685</v>
      </c>
    </row>
    <row r="1670" spans="1:6" x14ac:dyDescent="0.3">
      <c r="A1670">
        <v>0.05</v>
      </c>
      <c r="B1670" t="s">
        <v>95</v>
      </c>
      <c r="C1670">
        <v>-0.15</v>
      </c>
      <c r="D1670">
        <v>-0.15114043593646675</v>
      </c>
      <c r="E1670">
        <v>4.5465290786254886E-2</v>
      </c>
      <c r="F1670">
        <v>1449.3872291704033</v>
      </c>
    </row>
    <row r="1671" spans="1:6" x14ac:dyDescent="0.3">
      <c r="A1671">
        <v>0.05</v>
      </c>
      <c r="B1671" t="s">
        <v>95</v>
      </c>
      <c r="C1671">
        <v>-0.14000000000000001</v>
      </c>
      <c r="D1671">
        <v>-0.14092557607049394</v>
      </c>
      <c r="E1671">
        <v>4.4397947966330786E-2</v>
      </c>
      <c r="F1671">
        <v>1539.8138450611746</v>
      </c>
    </row>
    <row r="1672" spans="1:6" x14ac:dyDescent="0.3">
      <c r="A1672">
        <v>0.05</v>
      </c>
      <c r="B1672" t="s">
        <v>95</v>
      </c>
      <c r="C1672">
        <v>-0.13</v>
      </c>
      <c r="D1672">
        <v>-0.13073985002887836</v>
      </c>
      <c r="E1672">
        <v>4.3274047338958815E-2</v>
      </c>
      <c r="F1672">
        <v>1642.35644755304</v>
      </c>
    </row>
    <row r="1673" spans="1:6" x14ac:dyDescent="0.3">
      <c r="A1673">
        <v>0.05</v>
      </c>
      <c r="B1673" t="s">
        <v>95</v>
      </c>
      <c r="C1673">
        <v>-0.12</v>
      </c>
      <c r="D1673">
        <v>-0.12058102840844405</v>
      </c>
      <c r="E1673">
        <v>4.2086980247354251E-2</v>
      </c>
      <c r="F1673">
        <v>1759.7060580436512</v>
      </c>
    </row>
    <row r="1674" spans="1:6" x14ac:dyDescent="0.3">
      <c r="A1674">
        <v>0.05</v>
      </c>
      <c r="B1674" t="s">
        <v>95</v>
      </c>
      <c r="C1674">
        <v>-0.11</v>
      </c>
      <c r="D1674">
        <v>-0.1104469157900972</v>
      </c>
      <c r="E1674">
        <v>4.0828803169097233E-2</v>
      </c>
      <c r="F1674">
        <v>1895.4269352770445</v>
      </c>
    </row>
    <row r="1675" spans="1:6" x14ac:dyDescent="0.3">
      <c r="A1675">
        <v>0.05</v>
      </c>
      <c r="B1675" t="s">
        <v>95</v>
      </c>
      <c r="C1675">
        <v>-0.1</v>
      </c>
      <c r="D1675">
        <v>-0.10033534773107562</v>
      </c>
      <c r="E1675">
        <v>3.9489831202705536E-2</v>
      </c>
      <c r="F1675">
        <v>2054.3465732646837</v>
      </c>
    </row>
    <row r="1676" spans="1:6" x14ac:dyDescent="0.3">
      <c r="A1676">
        <v>0.05</v>
      </c>
      <c r="B1676" t="s">
        <v>95</v>
      </c>
      <c r="C1676">
        <v>-0.09</v>
      </c>
      <c r="D1676">
        <v>-9.0244187856146837E-2</v>
      </c>
      <c r="E1676">
        <v>3.8058073454367271E-2</v>
      </c>
      <c r="F1676">
        <v>2243.1770858788059</v>
      </c>
    </row>
    <row r="1677" spans="1:6" x14ac:dyDescent="0.3">
      <c r="A1677">
        <v>0.05</v>
      </c>
      <c r="B1677" t="s">
        <v>95</v>
      </c>
      <c r="C1677">
        <v>-0.08</v>
      </c>
      <c r="D1677">
        <v>-8.0171325037589683E-2</v>
      </c>
      <c r="E1677">
        <v>3.6518283933759943E-2</v>
      </c>
      <c r="F1677">
        <v>2471.5503848715757</v>
      </c>
    </row>
    <row r="1678" spans="1:6" x14ac:dyDescent="0.3">
      <c r="A1678">
        <v>0.05</v>
      </c>
      <c r="B1678" t="s">
        <v>95</v>
      </c>
      <c r="C1678">
        <v>-7.0000000000000007E-2</v>
      </c>
      <c r="D1678">
        <v>-7.0114670654325195E-2</v>
      </c>
      <c r="E1678">
        <v>3.4850617626410403E-2</v>
      </c>
      <c r="F1678">
        <v>2753.8261291400636</v>
      </c>
    </row>
    <row r="1679" spans="1:6" x14ac:dyDescent="0.3">
      <c r="A1679">
        <v>0.05</v>
      </c>
      <c r="B1679" t="s">
        <v>95</v>
      </c>
      <c r="C1679">
        <v>-0.06</v>
      </c>
      <c r="D1679">
        <v>-6.007215592103167E-2</v>
      </c>
      <c r="E1679">
        <v>3.3028352494128999E-2</v>
      </c>
      <c r="F1679">
        <v>3112.4570353895651</v>
      </c>
    </row>
    <row r="1680" spans="1:6" x14ac:dyDescent="0.3">
      <c r="A1680">
        <v>0.05</v>
      </c>
      <c r="B1680" t="s">
        <v>95</v>
      </c>
      <c r="C1680">
        <v>-0.05</v>
      </c>
      <c r="D1680">
        <v>-5.0041729278491327E-2</v>
      </c>
      <c r="E1680">
        <v>3.101395083367476E-2</v>
      </c>
      <c r="F1680">
        <v>3584.7596493203428</v>
      </c>
    </row>
    <row r="1681" spans="1:6" x14ac:dyDescent="0.3">
      <c r="A1681">
        <v>0.05</v>
      </c>
      <c r="B1681" t="s">
        <v>95</v>
      </c>
      <c r="C1681">
        <v>-0.04</v>
      </c>
      <c r="D1681">
        <v>-4.0021353836768248E-2</v>
      </c>
      <c r="E1681">
        <v>2.8751545423186409E-2</v>
      </c>
      <c r="F1681">
        <v>4238.0123164385423</v>
      </c>
    </row>
    <row r="1682" spans="1:6" x14ac:dyDescent="0.3">
      <c r="A1682">
        <v>0.05</v>
      </c>
      <c r="B1682" t="s">
        <v>95</v>
      </c>
      <c r="C1682">
        <v>-0.03</v>
      </c>
      <c r="D1682">
        <v>-3.000900486312652E-2</v>
      </c>
      <c r="E1682">
        <v>2.615091023455262E-2</v>
      </c>
      <c r="F1682">
        <v>5208.2346694678827</v>
      </c>
    </row>
    <row r="1683" spans="1:6" x14ac:dyDescent="0.3">
      <c r="A1683">
        <v>0.05</v>
      </c>
      <c r="B1683" t="s">
        <v>95</v>
      </c>
      <c r="C1683">
        <v>-0.02</v>
      </c>
      <c r="D1683">
        <v>-2.0002667306849624E-2</v>
      </c>
      <c r="E1683">
        <v>2.3047043020128034E-2</v>
      </c>
      <c r="F1683">
        <v>6823.1232520062786</v>
      </c>
    </row>
    <row r="1684" spans="1:6" x14ac:dyDescent="0.3">
      <c r="A1684">
        <v>0.05</v>
      </c>
      <c r="B1684" t="s">
        <v>95</v>
      </c>
      <c r="C1684">
        <v>-0.01</v>
      </c>
      <c r="D1684">
        <v>-1.0000333353334771E-2</v>
      </c>
      <c r="E1684">
        <v>1.9063321136875443E-2</v>
      </c>
      <c r="F1684">
        <v>10161.585662670384</v>
      </c>
    </row>
    <row r="1685" spans="1:6" x14ac:dyDescent="0.3">
      <c r="A1685">
        <v>0.01</v>
      </c>
      <c r="B1685" t="s">
        <v>95</v>
      </c>
      <c r="C1685">
        <v>-0.99</v>
      </c>
      <c r="D1685">
        <v>-2.6466524123622457</v>
      </c>
      <c r="E1685">
        <v>0.11466167829979594</v>
      </c>
      <c r="F1685">
        <v>95.658456176055012</v>
      </c>
    </row>
    <row r="1686" spans="1:6" x14ac:dyDescent="0.3">
      <c r="A1686">
        <v>0.01</v>
      </c>
      <c r="B1686" t="s">
        <v>95</v>
      </c>
      <c r="C1686">
        <v>-0.98</v>
      </c>
      <c r="D1686">
        <v>-2.2975599250672945</v>
      </c>
      <c r="E1686">
        <v>0.11313215436136592</v>
      </c>
      <c r="F1686">
        <v>109.39652683529523</v>
      </c>
    </row>
    <row r="1687" spans="1:6" x14ac:dyDescent="0.3">
      <c r="A1687">
        <v>0.01</v>
      </c>
      <c r="B1687" t="s">
        <v>95</v>
      </c>
      <c r="C1687">
        <v>-0.97</v>
      </c>
      <c r="D1687">
        <v>-2.0922957200349388</v>
      </c>
      <c r="E1687">
        <v>0.11203907410159525</v>
      </c>
      <c r="F1687">
        <v>119.56106607355765</v>
      </c>
    </row>
    <row r="1688" spans="1:6" x14ac:dyDescent="0.3">
      <c r="A1688">
        <v>0.01</v>
      </c>
      <c r="B1688" t="s">
        <v>95</v>
      </c>
      <c r="C1688">
        <v>-0.96</v>
      </c>
      <c r="D1688">
        <v>-1.9459101490553128</v>
      </c>
      <c r="E1688">
        <v>0.1111464175021097</v>
      </c>
      <c r="F1688">
        <v>128.08522725614409</v>
      </c>
    </row>
    <row r="1689" spans="1:6" x14ac:dyDescent="0.3">
      <c r="A1689">
        <v>0.01</v>
      </c>
      <c r="B1689" t="s">
        <v>95</v>
      </c>
      <c r="C1689">
        <v>-0.95</v>
      </c>
      <c r="D1689">
        <v>-1.8317808230648227</v>
      </c>
      <c r="E1689">
        <v>0.11037185906347083</v>
      </c>
      <c r="F1689">
        <v>135.64997574803431</v>
      </c>
    </row>
    <row r="1690" spans="1:6" x14ac:dyDescent="0.3">
      <c r="A1690">
        <v>0.01</v>
      </c>
      <c r="B1690" t="s">
        <v>95</v>
      </c>
      <c r="C1690">
        <v>-0.94</v>
      </c>
      <c r="D1690">
        <v>-1.7380493449176362</v>
      </c>
      <c r="E1690">
        <v>0.10967588988907383</v>
      </c>
      <c r="F1690">
        <v>142.58419824803102</v>
      </c>
    </row>
    <row r="1691" spans="1:6" x14ac:dyDescent="0.3">
      <c r="A1691">
        <v>0.01</v>
      </c>
      <c r="B1691" t="s">
        <v>95</v>
      </c>
      <c r="C1691">
        <v>-0.93</v>
      </c>
      <c r="D1691">
        <v>-1.6583900199247865</v>
      </c>
      <c r="E1691">
        <v>0.10903621796112739</v>
      </c>
      <c r="F1691">
        <v>149.07500148140753</v>
      </c>
    </row>
    <row r="1692" spans="1:6" x14ac:dyDescent="0.3">
      <c r="A1692">
        <v>0.01</v>
      </c>
      <c r="B1692" t="s">
        <v>95</v>
      </c>
      <c r="C1692">
        <v>-0.92</v>
      </c>
      <c r="D1692">
        <v>-1.5890269151739731</v>
      </c>
      <c r="E1692">
        <v>0.10843887374898628</v>
      </c>
      <c r="F1692">
        <v>155.24041498758845</v>
      </c>
    </row>
    <row r="1693" spans="1:6" x14ac:dyDescent="0.3">
      <c r="A1693">
        <v>0.01</v>
      </c>
      <c r="B1693" t="s">
        <v>95</v>
      </c>
      <c r="C1693">
        <v>-0.91</v>
      </c>
      <c r="D1693">
        <v>-1.5275244253552054</v>
      </c>
      <c r="E1693">
        <v>0.10787443861120037</v>
      </c>
      <c r="F1693">
        <v>161.16046415875866</v>
      </c>
    </row>
    <row r="1694" spans="1:6" x14ac:dyDescent="0.3">
      <c r="A1694">
        <v>0.01</v>
      </c>
      <c r="B1694" t="s">
        <v>95</v>
      </c>
      <c r="C1694">
        <v>-0.9</v>
      </c>
      <c r="D1694">
        <v>-1.4722194895832204</v>
      </c>
      <c r="E1694">
        <v>0.10733624377024073</v>
      </c>
      <c r="F1694">
        <v>166.89239975375983</v>
      </c>
    </row>
    <row r="1695" spans="1:6" x14ac:dyDescent="0.3">
      <c r="A1695">
        <v>0.01</v>
      </c>
      <c r="B1695" t="s">
        <v>95</v>
      </c>
      <c r="C1695">
        <v>-0.89</v>
      </c>
      <c r="D1695">
        <v>-1.421925871130636</v>
      </c>
      <c r="E1695">
        <v>0.10681939570749265</v>
      </c>
      <c r="F1695">
        <v>172.47893590004796</v>
      </c>
    </row>
    <row r="1696" spans="1:6" x14ac:dyDescent="0.3">
      <c r="A1696">
        <v>0.01</v>
      </c>
      <c r="B1696" t="s">
        <v>95</v>
      </c>
      <c r="C1696">
        <v>-0.88</v>
      </c>
      <c r="D1696">
        <v>-1.3757676565209744</v>
      </c>
      <c r="E1696">
        <v>0.1063201076586629</v>
      </c>
      <c r="F1696">
        <v>177.95308579489134</v>
      </c>
    </row>
    <row r="1697" spans="1:6" x14ac:dyDescent="0.3">
      <c r="A1697">
        <v>0.01</v>
      </c>
      <c r="B1697" t="s">
        <v>95</v>
      </c>
      <c r="C1697">
        <v>-0.87</v>
      </c>
      <c r="D1697">
        <v>-1.333079629696525</v>
      </c>
      <c r="E1697">
        <v>0.10583544510471418</v>
      </c>
      <c r="F1697">
        <v>183.34108703055347</v>
      </c>
    </row>
    <row r="1698" spans="1:6" x14ac:dyDescent="0.3">
      <c r="A1698">
        <v>0.01</v>
      </c>
      <c r="B1698" t="s">
        <v>95</v>
      </c>
      <c r="C1698">
        <v>-0.86</v>
      </c>
      <c r="D1698">
        <v>-1.2933446720489712</v>
      </c>
      <c r="E1698">
        <v>0.10536306433606964</v>
      </c>
      <c r="F1698">
        <v>188.66432633178692</v>
      </c>
    </row>
    <row r="1699" spans="1:6" x14ac:dyDescent="0.3">
      <c r="A1699">
        <v>0.01</v>
      </c>
      <c r="B1699" t="s">
        <v>95</v>
      </c>
      <c r="C1699">
        <v>-0.85</v>
      </c>
      <c r="D1699">
        <v>-1.2561528119880574</v>
      </c>
      <c r="E1699">
        <v>0.1049010358819665</v>
      </c>
      <c r="F1699">
        <v>193.9406345243259</v>
      </c>
    </row>
    <row r="1700" spans="1:6" x14ac:dyDescent="0.3">
      <c r="A1700">
        <v>0.01</v>
      </c>
      <c r="B1700" t="s">
        <v>95</v>
      </c>
      <c r="C1700">
        <v>-0.84</v>
      </c>
      <c r="D1700">
        <v>-1.2211735176846021</v>
      </c>
      <c r="E1700">
        <v>0.10444776657518239</v>
      </c>
      <c r="F1700">
        <v>199.18516643966836</v>
      </c>
    </row>
    <row r="1701" spans="1:6" x14ac:dyDescent="0.3">
      <c r="A1701">
        <v>0.01</v>
      </c>
      <c r="B1701" t="s">
        <v>95</v>
      </c>
      <c r="C1701">
        <v>-0.83</v>
      </c>
      <c r="D1701">
        <v>-1.1881364043926024</v>
      </c>
      <c r="E1701">
        <v>0.10400190058970614</v>
      </c>
      <c r="F1701">
        <v>204.41104715416066</v>
      </c>
    </row>
    <row r="1702" spans="1:6" x14ac:dyDescent="0.3">
      <c r="A1702">
        <v>0.01</v>
      </c>
      <c r="B1702" t="s">
        <v>95</v>
      </c>
      <c r="C1702">
        <v>-0.82</v>
      </c>
      <c r="D1702">
        <v>-1.1568174645903151</v>
      </c>
      <c r="E1702">
        <v>0.10356228969704372</v>
      </c>
      <c r="F1702">
        <v>209.62982555564676</v>
      </c>
    </row>
    <row r="1703" spans="1:6" x14ac:dyDescent="0.3">
      <c r="A1703">
        <v>0.01</v>
      </c>
      <c r="B1703" t="s">
        <v>95</v>
      </c>
      <c r="C1703">
        <v>-0.81</v>
      </c>
      <c r="D1703">
        <v>-1.1270290260496929</v>
      </c>
      <c r="E1703">
        <v>0.10312794363079167</v>
      </c>
      <c r="F1703">
        <v>214.85182522621616</v>
      </c>
    </row>
    <row r="1704" spans="1:6" x14ac:dyDescent="0.3">
      <c r="A1704">
        <v>0.01</v>
      </c>
      <c r="B1704" t="s">
        <v>95</v>
      </c>
      <c r="C1704">
        <v>-0.8</v>
      </c>
      <c r="D1704">
        <v>-1.0986122886681098</v>
      </c>
      <c r="E1704">
        <v>0.10269798883898892</v>
      </c>
      <c r="F1704">
        <v>220.08641439159203</v>
      </c>
    </row>
    <row r="1705" spans="1:6" x14ac:dyDescent="0.3">
      <c r="A1705">
        <v>0.01</v>
      </c>
      <c r="B1705" t="s">
        <v>95</v>
      </c>
      <c r="C1705">
        <v>-0.79</v>
      </c>
      <c r="D1705">
        <v>-1.0714316840586662</v>
      </c>
      <c r="E1705">
        <v>0.10227165195647223</v>
      </c>
      <c r="F1705">
        <v>225.34220820857871</v>
      </c>
    </row>
    <row r="1706" spans="1:6" x14ac:dyDescent="0.3">
      <c r="A1706">
        <v>0.01</v>
      </c>
      <c r="B1706" t="s">
        <v>95</v>
      </c>
      <c r="C1706">
        <v>-0.78</v>
      </c>
      <c r="D1706">
        <v>-1.0453705484668847</v>
      </c>
      <c r="E1706">
        <v>0.10184826031463443</v>
      </c>
      <c r="F1706">
        <v>230.62722060421754</v>
      </c>
    </row>
    <row r="1707" spans="1:6" x14ac:dyDescent="0.3">
      <c r="A1707">
        <v>0.01</v>
      </c>
      <c r="B1707" t="s">
        <v>95</v>
      </c>
      <c r="C1707">
        <v>-0.77</v>
      </c>
      <c r="D1707">
        <v>-1.0203277583223398</v>
      </c>
      <c r="E1707">
        <v>0.10142718617224689</v>
      </c>
      <c r="F1707">
        <v>235.9490168035031</v>
      </c>
    </row>
    <row r="1708" spans="1:6" x14ac:dyDescent="0.3">
      <c r="A1708">
        <v>0.01</v>
      </c>
      <c r="B1708" t="s">
        <v>95</v>
      </c>
      <c r="C1708">
        <v>-0.76</v>
      </c>
      <c r="D1708">
        <v>-0.99621508234510314</v>
      </c>
      <c r="E1708">
        <v>0.10100787940865355</v>
      </c>
      <c r="F1708">
        <v>241.31479554815047</v>
      </c>
    </row>
    <row r="1709" spans="1:6" x14ac:dyDescent="0.3">
      <c r="A1709">
        <v>0.01</v>
      </c>
      <c r="B1709" t="s">
        <v>95</v>
      </c>
      <c r="C1709">
        <v>-0.75</v>
      </c>
      <c r="D1709">
        <v>-0.97295507452765673</v>
      </c>
      <c r="E1709">
        <v>0.10058983126849728</v>
      </c>
      <c r="F1709">
        <v>246.73149201502588</v>
      </c>
    </row>
    <row r="1710" spans="1:6" x14ac:dyDescent="0.3">
      <c r="A1710">
        <v>0.01</v>
      </c>
      <c r="B1710" t="s">
        <v>95</v>
      </c>
      <c r="C1710">
        <v>-0.74</v>
      </c>
      <c r="D1710">
        <v>-0.95047938059652348</v>
      </c>
      <c r="E1710">
        <v>0.10017255039013574</v>
      </c>
      <c r="F1710">
        <v>252.20586317376365</v>
      </c>
    </row>
    <row r="1711" spans="1:6" x14ac:dyDescent="0.3">
      <c r="A1711">
        <v>0.01</v>
      </c>
      <c r="B1711" t="s">
        <v>95</v>
      </c>
      <c r="C1711">
        <v>-0.73</v>
      </c>
      <c r="D1711">
        <v>-0.92872736424672497</v>
      </c>
      <c r="E1711">
        <v>9.9755620743486886E-2</v>
      </c>
      <c r="F1711">
        <v>257.7445122523099</v>
      </c>
    </row>
    <row r="1712" spans="1:6" x14ac:dyDescent="0.3">
      <c r="A1712">
        <v>0.01</v>
      </c>
      <c r="B1712" t="s">
        <v>95</v>
      </c>
      <c r="C1712">
        <v>-0.72</v>
      </c>
      <c r="D1712">
        <v>-0.90764498331912458</v>
      </c>
      <c r="E1712">
        <v>9.9338608104180645E-2</v>
      </c>
      <c r="F1712">
        <v>263.3539996197577</v>
      </c>
    </row>
    <row r="1713" spans="1:6" x14ac:dyDescent="0.3">
      <c r="A1713">
        <v>0.01</v>
      </c>
      <c r="B1713" t="s">
        <v>95</v>
      </c>
      <c r="C1713">
        <v>-0.71</v>
      </c>
      <c r="D1713">
        <v>-0.88718386325809284</v>
      </c>
      <c r="E1713">
        <v>9.8921147651123753E-2</v>
      </c>
      <c r="F1713">
        <v>269.04083376809552</v>
      </c>
    </row>
    <row r="1714" spans="1:6" x14ac:dyDescent="0.3">
      <c r="A1714">
        <v>0.01</v>
      </c>
      <c r="B1714" t="s">
        <v>95</v>
      </c>
      <c r="C1714">
        <v>-0.7</v>
      </c>
      <c r="D1714">
        <v>-0.86730052769405308</v>
      </c>
      <c r="E1714">
        <v>9.8502866393494121E-2</v>
      </c>
      <c r="F1714">
        <v>274.81156410342038</v>
      </c>
    </row>
    <row r="1715" spans="1:6" x14ac:dyDescent="0.3">
      <c r="A1715">
        <v>0.01</v>
      </c>
      <c r="B1715" t="s">
        <v>95</v>
      </c>
      <c r="C1715">
        <v>-0.69</v>
      </c>
      <c r="D1715">
        <v>-0.84795575521896349</v>
      </c>
      <c r="E1715">
        <v>9.8083405129043941E-2</v>
      </c>
      <c r="F1715">
        <v>280.67280701958424</v>
      </c>
    </row>
    <row r="1716" spans="1:6" x14ac:dyDescent="0.3">
      <c r="A1716">
        <v>0.01</v>
      </c>
      <c r="B1716" t="s">
        <v>95</v>
      </c>
      <c r="C1716">
        <v>-0.68</v>
      </c>
      <c r="D1716">
        <v>-0.82911403830176633</v>
      </c>
      <c r="E1716">
        <v>9.766242889888789E-2</v>
      </c>
      <c r="F1716">
        <v>286.63127540893231</v>
      </c>
    </row>
    <row r="1717" spans="1:6" x14ac:dyDescent="0.3">
      <c r="A1717">
        <v>0.01</v>
      </c>
      <c r="B1717" t="s">
        <v>95</v>
      </c>
      <c r="C1717">
        <v>-0.67</v>
      </c>
      <c r="D1717">
        <v>-0.81074312547513749</v>
      </c>
      <c r="E1717">
        <v>9.7239617133556513E-2</v>
      </c>
      <c r="F1717">
        <v>292.69382072472001</v>
      </c>
    </row>
    <row r="1718" spans="1:6" x14ac:dyDescent="0.3">
      <c r="A1718">
        <v>0.01</v>
      </c>
      <c r="B1718" t="s">
        <v>95</v>
      </c>
      <c r="C1718">
        <v>-0.66</v>
      </c>
      <c r="D1718">
        <v>-0.79281363187019105</v>
      </c>
      <c r="E1718">
        <v>9.6814659302406764E-2</v>
      </c>
      <c r="F1718">
        <v>298.86747082640858</v>
      </c>
    </row>
    <row r="1719" spans="1:6" x14ac:dyDescent="0.3">
      <c r="A1719">
        <v>0.01</v>
      </c>
      <c r="B1719" t="s">
        <v>95</v>
      </c>
      <c r="C1719">
        <v>-0.65</v>
      </c>
      <c r="D1719">
        <v>-0.7752987062055835</v>
      </c>
      <c r="E1719">
        <v>9.638722295019482E-2</v>
      </c>
      <c r="F1719">
        <v>305.15949053698415</v>
      </c>
    </row>
    <row r="1720" spans="1:6" x14ac:dyDescent="0.3">
      <c r="A1720">
        <v>0.01</v>
      </c>
      <c r="B1720" t="s">
        <v>95</v>
      </c>
      <c r="C1720">
        <v>-0.64</v>
      </c>
      <c r="D1720">
        <v>-0.7581737446840443</v>
      </c>
      <c r="E1720">
        <v>9.5957019624673304E-2</v>
      </c>
      <c r="F1720">
        <v>311.57736431657111</v>
      </c>
    </row>
    <row r="1721" spans="1:6" x14ac:dyDescent="0.3">
      <c r="A1721">
        <v>0.01</v>
      </c>
      <c r="B1721" t="s">
        <v>95</v>
      </c>
      <c r="C1721">
        <v>-0.63</v>
      </c>
      <c r="D1721">
        <v>-0.74141614408126888</v>
      </c>
      <c r="E1721">
        <v>9.5523752628961164E-2</v>
      </c>
      <c r="F1721">
        <v>318.12887254033103</v>
      </c>
    </row>
    <row r="1722" spans="1:6" x14ac:dyDescent="0.3">
      <c r="A1722">
        <v>0.01</v>
      </c>
      <c r="B1722" t="s">
        <v>95</v>
      </c>
      <c r="C1722">
        <v>-0.62</v>
      </c>
      <c r="D1722">
        <v>-0.72500508775299921</v>
      </c>
      <c r="E1722">
        <v>9.5087119594762917E-2</v>
      </c>
      <c r="F1722">
        <v>324.82212741412872</v>
      </c>
    </row>
    <row r="1723" spans="1:6" x14ac:dyDescent="0.3">
      <c r="A1723">
        <v>0.01</v>
      </c>
      <c r="B1723" t="s">
        <v>95</v>
      </c>
      <c r="C1723">
        <v>-0.61</v>
      </c>
      <c r="D1723">
        <v>-0.7089213594274083</v>
      </c>
      <c r="E1723">
        <v>9.4646812325584556E-2</v>
      </c>
      <c r="F1723">
        <v>331.66561260528596</v>
      </c>
    </row>
    <row r="1724" spans="1:6" x14ac:dyDescent="0.3">
      <c r="A1724">
        <v>0.01</v>
      </c>
      <c r="B1724" t="s">
        <v>95</v>
      </c>
      <c r="C1724">
        <v>-0.6</v>
      </c>
      <c r="D1724">
        <v>-0.69314718055994529</v>
      </c>
      <c r="E1724">
        <v>9.4202546445569232E-2</v>
      </c>
      <c r="F1724">
        <v>338.66819663102814</v>
      </c>
    </row>
    <row r="1725" spans="1:6" x14ac:dyDescent="0.3">
      <c r="A1725">
        <v>0.01</v>
      </c>
      <c r="B1725" t="s">
        <v>95</v>
      </c>
      <c r="C1725">
        <v>-0.59</v>
      </c>
      <c r="D1725">
        <v>-0.67766606775796179</v>
      </c>
      <c r="E1725">
        <v>9.3754013614836915E-2</v>
      </c>
      <c r="F1725">
        <v>345.83921937511121</v>
      </c>
    </row>
    <row r="1726" spans="1:6" x14ac:dyDescent="0.3">
      <c r="A1726">
        <v>0.01</v>
      </c>
      <c r="B1726" t="s">
        <v>95</v>
      </c>
      <c r="C1726">
        <v>-0.57999999999999996</v>
      </c>
      <c r="D1726">
        <v>-0.66246270737179924</v>
      </c>
      <c r="E1726">
        <v>9.3300908224989709E-2</v>
      </c>
      <c r="F1726">
        <v>353.18851459230871</v>
      </c>
    </row>
    <row r="1727" spans="1:6" x14ac:dyDescent="0.3">
      <c r="A1727">
        <v>0.01</v>
      </c>
      <c r="B1727" t="s">
        <v>95</v>
      </c>
      <c r="C1727">
        <v>-0.56999999999999995</v>
      </c>
      <c r="D1727">
        <v>-0.64752284482737277</v>
      </c>
      <c r="E1727">
        <v>9.2842940822538828E-2</v>
      </c>
      <c r="F1727">
        <v>360.72644499782137</v>
      </c>
    </row>
    <row r="1728" spans="1:6" x14ac:dyDescent="0.3">
      <c r="A1728">
        <v>0.01</v>
      </c>
      <c r="B1728" t="s">
        <v>95</v>
      </c>
      <c r="C1728">
        <v>-0.56000000000000005</v>
      </c>
      <c r="D1728">
        <v>-0.63283318666563804</v>
      </c>
      <c r="E1728">
        <v>9.2379778236232848E-2</v>
      </c>
      <c r="F1728">
        <v>368.46401720766619</v>
      </c>
    </row>
    <row r="1729" spans="1:6" x14ac:dyDescent="0.3">
      <c r="A1729">
        <v>0.01</v>
      </c>
      <c r="B1729" t="s">
        <v>95</v>
      </c>
      <c r="C1729">
        <v>-0.55000000000000004</v>
      </c>
      <c r="D1729">
        <v>-0.61838131357446346</v>
      </c>
      <c r="E1729">
        <v>9.1911127830761316E-2</v>
      </c>
      <c r="F1729">
        <v>376.41285362187614</v>
      </c>
    </row>
    <row r="1730" spans="1:6" x14ac:dyDescent="0.3">
      <c r="A1730">
        <v>0.01</v>
      </c>
      <c r="B1730" t="s">
        <v>95</v>
      </c>
      <c r="C1730">
        <v>-0.54</v>
      </c>
      <c r="D1730">
        <v>-0.60415560296226711</v>
      </c>
      <c r="E1730">
        <v>9.1436631059930107E-2</v>
      </c>
      <c r="F1730">
        <v>384.58537019015449</v>
      </c>
    </row>
    <row r="1731" spans="1:6" x14ac:dyDescent="0.3">
      <c r="A1731">
        <v>0.01</v>
      </c>
      <c r="B1731" t="s">
        <v>95</v>
      </c>
      <c r="C1731">
        <v>-0.53</v>
      </c>
      <c r="D1731">
        <v>-0.59014515984118854</v>
      </c>
      <c r="E1731">
        <v>9.0955995177822296E-2</v>
      </c>
      <c r="F1731">
        <v>392.99470217719858</v>
      </c>
    </row>
    <row r="1732" spans="1:6" x14ac:dyDescent="0.3">
      <c r="A1732">
        <v>0.01</v>
      </c>
      <c r="B1732" t="s">
        <v>95</v>
      </c>
      <c r="C1732">
        <v>-0.52</v>
      </c>
      <c r="D1732">
        <v>-0.57633975496919276</v>
      </c>
      <c r="E1732">
        <v>9.046885233550242E-2</v>
      </c>
      <c r="F1732">
        <v>401.65493942814788</v>
      </c>
    </row>
    <row r="1733" spans="1:6" x14ac:dyDescent="0.3">
      <c r="A1733">
        <v>0.01</v>
      </c>
      <c r="B1733" t="s">
        <v>95</v>
      </c>
      <c r="C1733">
        <v>-0.51</v>
      </c>
      <c r="D1733">
        <v>-0.56272976935214891</v>
      </c>
      <c r="E1733">
        <v>8.9974849462331002E-2</v>
      </c>
      <c r="F1733">
        <v>410.58111168596156</v>
      </c>
    </row>
    <row r="1734" spans="1:6" x14ac:dyDescent="0.3">
      <c r="A1734">
        <v>0.01</v>
      </c>
      <c r="B1734" t="s">
        <v>95</v>
      </c>
      <c r="C1734">
        <v>-0.5</v>
      </c>
      <c r="D1734">
        <v>-0.54930614433405489</v>
      </c>
      <c r="E1734">
        <v>8.9473622212140794E-2</v>
      </c>
      <c r="F1734">
        <v>419.789312544376</v>
      </c>
    </row>
    <row r="1735" spans="1:6" x14ac:dyDescent="0.3">
      <c r="A1735">
        <v>0.01</v>
      </c>
      <c r="B1735" t="s">
        <v>95</v>
      </c>
      <c r="C1735">
        <v>-0.49</v>
      </c>
      <c r="D1735">
        <v>-0.53606033661056662</v>
      </c>
      <c r="E1735">
        <v>8.8964784453448423E-2</v>
      </c>
      <c r="F1735">
        <v>429.29681902871505</v>
      </c>
    </row>
    <row r="1736" spans="1:6" x14ac:dyDescent="0.3">
      <c r="A1736">
        <v>0.01</v>
      </c>
      <c r="B1736" t="s">
        <v>95</v>
      </c>
      <c r="C1736">
        <v>-0.48</v>
      </c>
      <c r="D1736">
        <v>-0.5229842775913438</v>
      </c>
      <c r="E1736">
        <v>8.8447974487018632E-2</v>
      </c>
      <c r="F1736">
        <v>439.12214717554781</v>
      </c>
    </row>
    <row r="1737" spans="1:6" x14ac:dyDescent="0.3">
      <c r="A1737">
        <v>0.01</v>
      </c>
      <c r="B1737" t="s">
        <v>95</v>
      </c>
      <c r="C1737">
        <v>-0.47</v>
      </c>
      <c r="D1737">
        <v>-0.51007033661330725</v>
      </c>
      <c r="E1737">
        <v>8.7922749797175195E-2</v>
      </c>
      <c r="F1737">
        <v>449.28532547585246</v>
      </c>
    </row>
    <row r="1738" spans="1:6" x14ac:dyDescent="0.3">
      <c r="A1738">
        <v>0.01</v>
      </c>
      <c r="B1738" t="s">
        <v>95</v>
      </c>
      <c r="C1738">
        <v>-0.46</v>
      </c>
      <c r="D1738">
        <v>-0.49731128757203097</v>
      </c>
      <c r="E1738">
        <v>8.7388690251323245E-2</v>
      </c>
      <c r="F1738">
        <v>459.80790467653463</v>
      </c>
    </row>
    <row r="1739" spans="1:6" x14ac:dyDescent="0.3">
      <c r="A1739">
        <v>0.01</v>
      </c>
      <c r="B1739" t="s">
        <v>95</v>
      </c>
      <c r="C1739">
        <v>-0.45</v>
      </c>
      <c r="D1739">
        <v>-0.48470027859405168</v>
      </c>
      <c r="E1739">
        <v>8.6845349549503223E-2</v>
      </c>
      <c r="F1739">
        <v>470.71318848389484</v>
      </c>
    </row>
    <row r="1740" spans="1:6" x14ac:dyDescent="0.3">
      <c r="A1740">
        <v>0.01</v>
      </c>
      <c r="B1740" t="s">
        <v>95</v>
      </c>
      <c r="C1740">
        <v>-0.44</v>
      </c>
      <c r="D1740">
        <v>-0.47223080442042559</v>
      </c>
      <c r="E1740">
        <v>8.6292245620945215E-2</v>
      </c>
      <c r="F1740">
        <v>482.02643749761222</v>
      </c>
    </row>
    <row r="1741" spans="1:6" x14ac:dyDescent="0.3">
      <c r="A1741">
        <v>0.01</v>
      </c>
      <c r="B1741" t="s">
        <v>95</v>
      </c>
      <c r="C1741">
        <v>-0.43</v>
      </c>
      <c r="D1741">
        <v>-0.45989668121267852</v>
      </c>
      <c r="E1741">
        <v>8.5728905135123448E-2</v>
      </c>
      <c r="F1741">
        <v>493.77501111006279</v>
      </c>
    </row>
    <row r="1742" spans="1:6" x14ac:dyDescent="0.3">
      <c r="A1742">
        <v>0.01</v>
      </c>
      <c r="B1742" t="s">
        <v>95</v>
      </c>
      <c r="C1742">
        <v>-0.42</v>
      </c>
      <c r="D1742">
        <v>-0.4476920235274206</v>
      </c>
      <c r="E1742">
        <v>8.5154817253860843E-2</v>
      </c>
      <c r="F1742">
        <v>505.98867685108445</v>
      </c>
    </row>
    <row r="1743" spans="1:6" x14ac:dyDescent="0.3">
      <c r="A1743">
        <v>0.01</v>
      </c>
      <c r="B1743" t="s">
        <v>95</v>
      </c>
      <c r="C1743">
        <v>-0.41</v>
      </c>
      <c r="D1743">
        <v>-0.43561122323622431</v>
      </c>
      <c r="E1743">
        <v>8.4569407775710051E-2</v>
      </c>
      <c r="F1743">
        <v>518.69993214088129</v>
      </c>
    </row>
    <row r="1744" spans="1:6" x14ac:dyDescent="0.3">
      <c r="A1744">
        <v>0.01</v>
      </c>
      <c r="B1744" t="s">
        <v>95</v>
      </c>
      <c r="C1744">
        <v>-0.4</v>
      </c>
      <c r="D1744">
        <v>-0.42364893019360178</v>
      </c>
      <c r="E1744">
        <v>8.3972118730524431E-2</v>
      </c>
      <c r="F1744">
        <v>531.94417946133046</v>
      </c>
    </row>
    <row r="1745" spans="1:6" x14ac:dyDescent="0.3">
      <c r="A1745">
        <v>0.01</v>
      </c>
      <c r="B1745" t="s">
        <v>95</v>
      </c>
      <c r="C1745">
        <v>-0.39</v>
      </c>
      <c r="D1745">
        <v>-0.41180003447869035</v>
      </c>
      <c r="E1745">
        <v>8.3362346598700079E-2</v>
      </c>
      <c r="F1745">
        <v>545.76018451567109</v>
      </c>
    </row>
    <row r="1746" spans="1:6" x14ac:dyDescent="0.3">
      <c r="A1746">
        <v>0.01</v>
      </c>
      <c r="B1746" t="s">
        <v>95</v>
      </c>
      <c r="C1746">
        <v>-0.38</v>
      </c>
      <c r="D1746">
        <v>-0.40005965005605654</v>
      </c>
      <c r="E1746">
        <v>8.2739418370484985E-2</v>
      </c>
      <c r="F1746">
        <v>560.1905360661201</v>
      </c>
    </row>
    <row r="1747" spans="1:6" x14ac:dyDescent="0.3">
      <c r="A1747">
        <v>0.01</v>
      </c>
      <c r="B1747" t="s">
        <v>95</v>
      </c>
      <c r="C1747">
        <v>-0.37</v>
      </c>
      <c r="D1747">
        <v>-0.38842309971829614</v>
      </c>
      <c r="E1747">
        <v>8.210266991979874E-2</v>
      </c>
      <c r="F1747">
        <v>575.28196516760943</v>
      </c>
    </row>
    <row r="1748" spans="1:6" x14ac:dyDescent="0.3">
      <c r="A1748">
        <v>0.01</v>
      </c>
      <c r="B1748" t="s">
        <v>95</v>
      </c>
      <c r="C1748">
        <v>-0.36</v>
      </c>
      <c r="D1748">
        <v>-0.37688590118819004</v>
      </c>
      <c r="E1748">
        <v>8.1451370768898287E-2</v>
      </c>
      <c r="F1748">
        <v>591.08603151501404</v>
      </c>
    </row>
    <row r="1749" spans="1:6" x14ac:dyDescent="0.3">
      <c r="A1749">
        <v>0.01</v>
      </c>
      <c r="B1749" t="s">
        <v>95</v>
      </c>
      <c r="C1749">
        <v>-0.35</v>
      </c>
      <c r="D1749">
        <v>-0.36544375427139619</v>
      </c>
      <c r="E1749">
        <v>8.0784719446352418E-2</v>
      </c>
      <c r="F1749">
        <v>607.65977318206001</v>
      </c>
    </row>
    <row r="1750" spans="1:6" x14ac:dyDescent="0.3">
      <c r="A1750">
        <v>0.01</v>
      </c>
      <c r="B1750" t="s">
        <v>95</v>
      </c>
      <c r="C1750">
        <v>-0.34</v>
      </c>
      <c r="D1750">
        <v>-0.35409252896224297</v>
      </c>
      <c r="E1750">
        <v>8.0101920824791367E-2</v>
      </c>
      <c r="F1750">
        <v>625.06626747558062</v>
      </c>
    </row>
    <row r="1751" spans="1:6" x14ac:dyDescent="0.3">
      <c r="A1751">
        <v>0.01</v>
      </c>
      <c r="B1751" t="s">
        <v>95</v>
      </c>
      <c r="C1751">
        <v>-0.33</v>
      </c>
      <c r="D1751">
        <v>-0.34282825441539394</v>
      </c>
      <c r="E1751">
        <v>7.9402034221424264E-2</v>
      </c>
      <c r="F1751">
        <v>643.37583587660129</v>
      </c>
    </row>
    <row r="1752" spans="1:6" x14ac:dyDescent="0.3">
      <c r="A1752">
        <v>0.01</v>
      </c>
      <c r="B1752" t="s">
        <v>95</v>
      </c>
      <c r="C1752">
        <v>-0.32</v>
      </c>
      <c r="D1752">
        <v>-0.3316471087051322</v>
      </c>
      <c r="E1752">
        <v>7.8684149476354132E-2</v>
      </c>
      <c r="F1752">
        <v>662.66664039391685</v>
      </c>
    </row>
    <row r="1753" spans="1:6" x14ac:dyDescent="0.3">
      <c r="A1753">
        <v>0.01</v>
      </c>
      <c r="B1753" t="s">
        <v>95</v>
      </c>
      <c r="C1753">
        <v>-0.31</v>
      </c>
      <c r="D1753">
        <v>-0.32054540930194608</v>
      </c>
      <c r="E1753">
        <v>7.7947206586797754E-2</v>
      </c>
      <c r="F1753">
        <v>683.02630964520642</v>
      </c>
    </row>
    <row r="1754" spans="1:6" x14ac:dyDescent="0.3">
      <c r="A1754">
        <v>0.01</v>
      </c>
      <c r="B1754" t="s">
        <v>95</v>
      </c>
      <c r="C1754">
        <v>-0.3</v>
      </c>
      <c r="D1754">
        <v>-0.30951960420311175</v>
      </c>
      <c r="E1754">
        <v>7.7190107463640467E-2</v>
      </c>
      <c r="F1754">
        <v>704.5530762677588</v>
      </c>
    </row>
    <row r="1755" spans="1:6" x14ac:dyDescent="0.3">
      <c r="A1755">
        <v>0.01</v>
      </c>
      <c r="B1755" t="s">
        <v>95</v>
      </c>
      <c r="C1755">
        <v>-0.28999999999999998</v>
      </c>
      <c r="D1755">
        <v>-0.29856626366017835</v>
      </c>
      <c r="E1755">
        <v>7.6411652060396143E-2</v>
      </c>
      <c r="F1755">
        <v>727.35762235920231</v>
      </c>
    </row>
    <row r="1756" spans="1:6" x14ac:dyDescent="0.3">
      <c r="A1756">
        <v>0.01</v>
      </c>
      <c r="B1756" t="s">
        <v>95</v>
      </c>
      <c r="C1756">
        <v>-0.28000000000000003</v>
      </c>
      <c r="D1756">
        <v>-0.2876820724517809</v>
      </c>
      <c r="E1756">
        <v>7.5610540271199067E-2</v>
      </c>
      <c r="F1756">
        <v>751.56509601829259</v>
      </c>
    </row>
    <row r="1757" spans="1:6" x14ac:dyDescent="0.3">
      <c r="A1757">
        <v>0.01</v>
      </c>
      <c r="B1757" t="s">
        <v>95</v>
      </c>
      <c r="C1757">
        <v>-0.27</v>
      </c>
      <c r="D1757">
        <v>-0.27686382265510007</v>
      </c>
      <c r="E1757">
        <v>7.4785359567673321E-2</v>
      </c>
      <c r="F1757">
        <v>777.31758053419594</v>
      </c>
    </row>
    <row r="1758" spans="1:6" x14ac:dyDescent="0.3">
      <c r="A1758">
        <v>0.01</v>
      </c>
      <c r="B1758" t="s">
        <v>95</v>
      </c>
      <c r="C1758">
        <v>-0.26</v>
      </c>
      <c r="D1758">
        <v>-0.26610840687365411</v>
      </c>
      <c r="E1758">
        <v>7.3934574438486209E-2</v>
      </c>
      <c r="F1758">
        <v>804.77707652352524</v>
      </c>
    </row>
    <row r="1759" spans="1:6" x14ac:dyDescent="0.3">
      <c r="A1759">
        <v>0.01</v>
      </c>
      <c r="B1759" t="s">
        <v>95</v>
      </c>
      <c r="C1759">
        <v>-0.25</v>
      </c>
      <c r="D1759">
        <v>-0.25541281188299536</v>
      </c>
      <c r="E1759">
        <v>7.3056517627860446E-2</v>
      </c>
      <c r="F1759">
        <v>834.12912630628671</v>
      </c>
    </row>
    <row r="1760" spans="1:6" x14ac:dyDescent="0.3">
      <c r="A1760">
        <v>0.01</v>
      </c>
      <c r="B1760" t="s">
        <v>95</v>
      </c>
      <c r="C1760">
        <v>-0.24</v>
      </c>
      <c r="D1760">
        <v>-0.24477411265935289</v>
      </c>
      <c r="E1760">
        <v>7.2149324733141645E-2</v>
      </c>
      <c r="F1760">
        <v>865.58748351524616</v>
      </c>
    </row>
    <row r="1761" spans="1:6" x14ac:dyDescent="0.3">
      <c r="A1761">
        <v>0.01</v>
      </c>
      <c r="B1761" t="s">
        <v>95</v>
      </c>
      <c r="C1761">
        <v>-0.23</v>
      </c>
      <c r="D1761">
        <v>-0.23418946675936678</v>
      </c>
      <c r="E1761">
        <v>7.1210975554428999E-2</v>
      </c>
      <c r="F1761">
        <v>899.39945546554509</v>
      </c>
    </row>
    <row r="1762" spans="1:6" x14ac:dyDescent="0.3">
      <c r="A1762">
        <v>0.01</v>
      </c>
      <c r="B1762" t="s">
        <v>95</v>
      </c>
      <c r="C1762">
        <v>-0.22</v>
      </c>
      <c r="D1762">
        <v>-0.22365610902183239</v>
      </c>
      <c r="E1762">
        <v>7.0239220019140194E-2</v>
      </c>
      <c r="F1762">
        <v>935.85304793442549</v>
      </c>
    </row>
    <row r="1763" spans="1:6" x14ac:dyDescent="0.3">
      <c r="A1763">
        <v>0.01</v>
      </c>
      <c r="B1763" t="s">
        <v>95</v>
      </c>
      <c r="C1763">
        <v>-0.21</v>
      </c>
      <c r="D1763">
        <v>-0.21317134656485975</v>
      </c>
      <c r="E1763">
        <v>6.9231581297868827E-2</v>
      </c>
      <c r="F1763">
        <v>975.28560164288717</v>
      </c>
    </row>
    <row r="1764" spans="1:6" x14ac:dyDescent="0.3">
      <c r="A1764">
        <v>0.01</v>
      </c>
      <c r="B1764" t="s">
        <v>95</v>
      </c>
      <c r="C1764">
        <v>-0.2</v>
      </c>
      <c r="D1764">
        <v>-0.20273255405408214</v>
      </c>
      <c r="E1764">
        <v>6.8185276791437266E-2</v>
      </c>
      <c r="F1764">
        <v>1018.0951571592504</v>
      </c>
    </row>
    <row r="1765" spans="1:6" x14ac:dyDescent="0.3">
      <c r="A1765">
        <v>0.01</v>
      </c>
      <c r="B1765" t="s">
        <v>95</v>
      </c>
      <c r="C1765">
        <v>-0.19</v>
      </c>
      <c r="D1765">
        <v>-0.1923371692195453</v>
      </c>
      <c r="E1765">
        <v>6.7097215632252391E-2</v>
      </c>
      <c r="F1765">
        <v>1064.7546299204494</v>
      </c>
    </row>
    <row r="1766" spans="1:6" x14ac:dyDescent="0.3">
      <c r="A1766">
        <v>0.01</v>
      </c>
      <c r="B1766" t="s">
        <v>95</v>
      </c>
      <c r="C1766">
        <v>-0.18</v>
      </c>
      <c r="D1766">
        <v>-0.18198268860070579</v>
      </c>
      <c r="E1766">
        <v>6.5963889484245003E-2</v>
      </c>
      <c r="F1766">
        <v>1115.8308032361838</v>
      </c>
    </row>
    <row r="1767" spans="1:6" x14ac:dyDescent="0.3">
      <c r="A1767">
        <v>0.01</v>
      </c>
      <c r="B1767" t="s">
        <v>95</v>
      </c>
      <c r="C1767">
        <v>-0.17</v>
      </c>
      <c r="D1767">
        <v>-0.17166666350057908</v>
      </c>
      <c r="E1767">
        <v>6.4781341041044299E-2</v>
      </c>
      <c r="F1767">
        <v>1172.0088065847033</v>
      </c>
    </row>
    <row r="1768" spans="1:6" x14ac:dyDescent="0.3">
      <c r="A1768">
        <v>0.01</v>
      </c>
      <c r="B1768" t="s">
        <v>95</v>
      </c>
      <c r="C1768">
        <v>-0.16</v>
      </c>
      <c r="D1768">
        <v>-0.16138669613152551</v>
      </c>
      <c r="E1768">
        <v>6.3545057759560139E-2</v>
      </c>
      <c r="F1768">
        <v>1234.1251903303805</v>
      </c>
    </row>
    <row r="1769" spans="1:6" x14ac:dyDescent="0.3">
      <c r="A1769">
        <v>0.01</v>
      </c>
      <c r="B1769" t="s">
        <v>95</v>
      </c>
      <c r="C1769">
        <v>-0.15</v>
      </c>
      <c r="D1769">
        <v>-0.15114043593646675</v>
      </c>
      <c r="E1769">
        <v>6.2249836897691133E-2</v>
      </c>
      <c r="F1769">
        <v>1303.212871142581</v>
      </c>
    </row>
    <row r="1770" spans="1:6" x14ac:dyDescent="0.3">
      <c r="A1770">
        <v>0.01</v>
      </c>
      <c r="B1770" t="s">
        <v>95</v>
      </c>
      <c r="C1770">
        <v>-0.14000000000000001</v>
      </c>
      <c r="D1770">
        <v>-0.14092557607049394</v>
      </c>
      <c r="E1770">
        <v>6.0889664203287487E-2</v>
      </c>
      <c r="F1770">
        <v>1380.5628148228168</v>
      </c>
    </row>
    <row r="1771" spans="1:6" x14ac:dyDescent="0.3">
      <c r="A1771">
        <v>0.01</v>
      </c>
      <c r="B1771" t="s">
        <v>95</v>
      </c>
      <c r="C1771">
        <v>-0.13</v>
      </c>
      <c r="D1771">
        <v>-0.13073985002887836</v>
      </c>
      <c r="E1771">
        <v>5.9457515837276396E-2</v>
      </c>
      <c r="F1771">
        <v>1467.8111151473465</v>
      </c>
    </row>
    <row r="1772" spans="1:6" x14ac:dyDescent="0.3">
      <c r="A1772">
        <v>0.01</v>
      </c>
      <c r="B1772" t="s">
        <v>95</v>
      </c>
      <c r="C1772">
        <v>-0.12</v>
      </c>
      <c r="D1772">
        <v>-0.12058102840844405</v>
      </c>
      <c r="E1772">
        <v>5.7945078173167332E-2</v>
      </c>
      <c r="F1772">
        <v>1567.0644679743659</v>
      </c>
    </row>
    <row r="1773" spans="1:6" x14ac:dyDescent="0.3">
      <c r="A1773">
        <v>0.01</v>
      </c>
      <c r="B1773" t="s">
        <v>95</v>
      </c>
      <c r="C1773">
        <v>-0.11</v>
      </c>
      <c r="D1773">
        <v>-0.1104469157900972</v>
      </c>
      <c r="E1773">
        <v>5.6342368668838592E-2</v>
      </c>
      <c r="F1773">
        <v>1681.0853586238368</v>
      </c>
    </row>
    <row r="1774" spans="1:6" x14ac:dyDescent="0.3">
      <c r="A1774">
        <v>0.01</v>
      </c>
      <c r="B1774" t="s">
        <v>95</v>
      </c>
      <c r="C1774">
        <v>-0.1</v>
      </c>
      <c r="D1774">
        <v>-0.10033534773107562</v>
      </c>
      <c r="E1774">
        <v>5.463729321066222E-2</v>
      </c>
      <c r="F1774">
        <v>1813.5721475066227</v>
      </c>
    </row>
    <row r="1775" spans="1:6" x14ac:dyDescent="0.3">
      <c r="A1775">
        <v>0.01</v>
      </c>
      <c r="B1775" t="s">
        <v>95</v>
      </c>
      <c r="C1775">
        <v>-0.09</v>
      </c>
      <c r="D1775">
        <v>-9.0244187856146837E-2</v>
      </c>
      <c r="E1775">
        <v>5.2814889825035627E-2</v>
      </c>
      <c r="F1775">
        <v>1969.5999674380662</v>
      </c>
    </row>
    <row r="1776" spans="1:6" x14ac:dyDescent="0.3">
      <c r="A1776">
        <v>0.01</v>
      </c>
      <c r="B1776" t="s">
        <v>95</v>
      </c>
      <c r="C1776">
        <v>-0.08</v>
      </c>
      <c r="D1776">
        <v>-8.0171325037589683E-2</v>
      </c>
      <c r="E1776">
        <v>5.0856289175947748E-2</v>
      </c>
      <c r="F1776">
        <v>2156.3393756001606</v>
      </c>
    </row>
    <row r="1777" spans="1:6" x14ac:dyDescent="0.3">
      <c r="A1777">
        <v>0.01</v>
      </c>
      <c r="B1777" t="s">
        <v>95</v>
      </c>
      <c r="C1777">
        <v>-7.0000000000000007E-2</v>
      </c>
      <c r="D1777">
        <v>-7.0114670654325195E-2</v>
      </c>
      <c r="E1777">
        <v>4.8737061935203108E-2</v>
      </c>
      <c r="F1777">
        <v>2384.2866370033912</v>
      </c>
    </row>
    <row r="1778" spans="1:6" x14ac:dyDescent="0.3">
      <c r="A1778">
        <v>0.01</v>
      </c>
      <c r="B1778" t="s">
        <v>95</v>
      </c>
      <c r="C1778">
        <v>-0.06</v>
      </c>
      <c r="D1778">
        <v>-6.007215592103167E-2</v>
      </c>
      <c r="E1778">
        <v>4.6424587841167077E-2</v>
      </c>
      <c r="F1778">
        <v>2669.4926259246231</v>
      </c>
    </row>
    <row r="1779" spans="1:6" x14ac:dyDescent="0.3">
      <c r="A1779">
        <v>0.01</v>
      </c>
      <c r="B1779" t="s">
        <v>95</v>
      </c>
      <c r="C1779">
        <v>-0.05</v>
      </c>
      <c r="D1779">
        <v>-5.0041729278491327E-2</v>
      </c>
      <c r="E1779">
        <v>4.3873515366004048E-2</v>
      </c>
      <c r="F1779">
        <v>3037.904768289503</v>
      </c>
    </row>
    <row r="1780" spans="1:6" x14ac:dyDescent="0.3">
      <c r="A1780">
        <v>0.01</v>
      </c>
      <c r="B1780" t="s">
        <v>95</v>
      </c>
      <c r="C1780">
        <v>-0.04</v>
      </c>
      <c r="D1780">
        <v>-4.0021353836768248E-2</v>
      </c>
      <c r="E1780">
        <v>4.1017364702414204E-2</v>
      </c>
      <c r="F1780">
        <v>3534.6520672976148</v>
      </c>
    </row>
    <row r="1781" spans="1:6" x14ac:dyDescent="0.3">
      <c r="A1781">
        <v>0.01</v>
      </c>
      <c r="B1781" t="s">
        <v>95</v>
      </c>
      <c r="C1781">
        <v>-0.03</v>
      </c>
      <c r="D1781">
        <v>-3.000900486312652E-2</v>
      </c>
      <c r="E1781">
        <v>3.7751101703808035E-2</v>
      </c>
      <c r="F1781">
        <v>4246.5921781119996</v>
      </c>
    </row>
    <row r="1782" spans="1:6" x14ac:dyDescent="0.3">
      <c r="A1782">
        <v>0.01</v>
      </c>
      <c r="B1782" t="s">
        <v>95</v>
      </c>
      <c r="C1782">
        <v>-0.02</v>
      </c>
      <c r="D1782">
        <v>-2.0002667306849624E-2</v>
      </c>
      <c r="E1782">
        <v>3.3889123389883216E-2</v>
      </c>
      <c r="F1782">
        <v>5368.1472616281944</v>
      </c>
    </row>
    <row r="1783" spans="1:6" x14ac:dyDescent="0.3">
      <c r="A1783">
        <v>0.01</v>
      </c>
      <c r="B1783" t="s">
        <v>95</v>
      </c>
      <c r="C1783">
        <v>-0.01</v>
      </c>
      <c r="D1783">
        <v>-1.0000333353334771E-2</v>
      </c>
      <c r="E1783">
        <v>2.9034958149546319E-2</v>
      </c>
      <c r="F1783">
        <v>7461.3101124874847</v>
      </c>
    </row>
    <row r="1784" spans="1:6" x14ac:dyDescent="0.3">
      <c r="A1784">
        <v>0.1</v>
      </c>
      <c r="B1784" t="s">
        <v>96</v>
      </c>
      <c r="C1784">
        <v>-0.99</v>
      </c>
      <c r="D1784">
        <v>-2.6466524123622457</v>
      </c>
      <c r="E1784">
        <v>7.8586550501520303E-2</v>
      </c>
      <c r="F1784">
        <v>29.084727381141001</v>
      </c>
    </row>
    <row r="1785" spans="1:6" x14ac:dyDescent="0.3">
      <c r="A1785">
        <v>0.1</v>
      </c>
      <c r="B1785" t="s">
        <v>96</v>
      </c>
      <c r="C1785">
        <v>-0.98</v>
      </c>
      <c r="D1785">
        <v>-2.2975599250672945</v>
      </c>
      <c r="E1785">
        <v>7.8239342680200871E-2</v>
      </c>
      <c r="F1785">
        <v>32.98155862076765</v>
      </c>
    </row>
    <row r="1786" spans="1:6" x14ac:dyDescent="0.3">
      <c r="A1786">
        <v>0.1</v>
      </c>
      <c r="B1786" t="s">
        <v>96</v>
      </c>
      <c r="C1786">
        <v>-0.97</v>
      </c>
      <c r="D1786">
        <v>-2.0922957200349388</v>
      </c>
      <c r="E1786">
        <v>7.7985015829374144E-2</v>
      </c>
      <c r="F1786">
        <v>35.868995471813882</v>
      </c>
    </row>
    <row r="1787" spans="1:6" x14ac:dyDescent="0.3">
      <c r="A1787">
        <v>0.1</v>
      </c>
      <c r="B1787" t="s">
        <v>96</v>
      </c>
      <c r="C1787">
        <v>-0.96</v>
      </c>
      <c r="D1787">
        <v>-1.9459101490553128</v>
      </c>
      <c r="E1787">
        <v>7.7773414694559409E-2</v>
      </c>
      <c r="F1787">
        <v>38.293130124992437</v>
      </c>
    </row>
    <row r="1788" spans="1:6" x14ac:dyDescent="0.3">
      <c r="A1788">
        <v>0.1</v>
      </c>
      <c r="B1788" t="s">
        <v>96</v>
      </c>
      <c r="C1788">
        <v>-0.95</v>
      </c>
      <c r="D1788">
        <v>-1.8317808230648227</v>
      </c>
      <c r="E1788">
        <v>7.7586881835758514E-2</v>
      </c>
      <c r="F1788">
        <v>40.446416791040008</v>
      </c>
    </row>
    <row r="1789" spans="1:6" x14ac:dyDescent="0.3">
      <c r="A1789">
        <v>0.1</v>
      </c>
      <c r="B1789" t="s">
        <v>96</v>
      </c>
      <c r="C1789">
        <v>-0.94</v>
      </c>
      <c r="D1789">
        <v>-1.7380493449176362</v>
      </c>
      <c r="E1789">
        <v>7.7416942394912688E-2</v>
      </c>
      <c r="F1789">
        <v>42.421824814291291</v>
      </c>
    </row>
    <row r="1790" spans="1:6" x14ac:dyDescent="0.3">
      <c r="A1790">
        <v>0.1</v>
      </c>
      <c r="B1790" t="s">
        <v>96</v>
      </c>
      <c r="C1790">
        <v>-0.93</v>
      </c>
      <c r="D1790">
        <v>-1.6583900199247865</v>
      </c>
      <c r="E1790">
        <v>7.7258752319870436E-2</v>
      </c>
      <c r="F1790">
        <v>44.272272012132063</v>
      </c>
    </row>
    <row r="1791" spans="1:6" x14ac:dyDescent="0.3">
      <c r="A1791">
        <v>0.1</v>
      </c>
      <c r="B1791" t="s">
        <v>96</v>
      </c>
      <c r="C1791">
        <v>-0.92</v>
      </c>
      <c r="D1791">
        <v>-1.5890269151739731</v>
      </c>
      <c r="E1791">
        <v>7.71092818975114E-2</v>
      </c>
      <c r="F1791">
        <v>46.031146064549723</v>
      </c>
    </row>
    <row r="1792" spans="1:6" x14ac:dyDescent="0.3">
      <c r="A1792">
        <v>0.1</v>
      </c>
      <c r="B1792" t="s">
        <v>96</v>
      </c>
      <c r="C1792">
        <v>-0.91</v>
      </c>
      <c r="D1792">
        <v>-1.5275244253552054</v>
      </c>
      <c r="E1792">
        <v>7.6966498904035077E-2</v>
      </c>
      <c r="F1792">
        <v>47.721086026744757</v>
      </c>
    </row>
    <row r="1793" spans="1:6" x14ac:dyDescent="0.3">
      <c r="A1793">
        <v>0.1</v>
      </c>
      <c r="B1793" t="s">
        <v>96</v>
      </c>
      <c r="C1793">
        <v>-0.9</v>
      </c>
      <c r="D1793">
        <v>-1.4722194895832204</v>
      </c>
      <c r="E1793">
        <v>7.6828917393934174E-2</v>
      </c>
      <c r="F1793">
        <v>49.358306113379804</v>
      </c>
    </row>
    <row r="1794" spans="1:6" x14ac:dyDescent="0.3">
      <c r="A1794">
        <v>0.1</v>
      </c>
      <c r="B1794" t="s">
        <v>96</v>
      </c>
      <c r="C1794">
        <v>-0.89</v>
      </c>
      <c r="D1794">
        <v>-1.421925871130636</v>
      </c>
      <c r="E1794">
        <v>7.6695459292334275E-2</v>
      </c>
      <c r="F1794">
        <v>50.954905961912296</v>
      </c>
    </row>
    <row r="1795" spans="1:6" x14ac:dyDescent="0.3">
      <c r="A1795">
        <v>0.1</v>
      </c>
      <c r="B1795" t="s">
        <v>96</v>
      </c>
      <c r="C1795">
        <v>-0.88</v>
      </c>
      <c r="D1795">
        <v>-1.3757676565209744</v>
      </c>
      <c r="E1795">
        <v>7.6565278423605651E-2</v>
      </c>
      <c r="F1795">
        <v>52.520242749029187</v>
      </c>
    </row>
    <row r="1796" spans="1:6" x14ac:dyDescent="0.3">
      <c r="A1796">
        <v>0.1</v>
      </c>
      <c r="B1796" t="s">
        <v>96</v>
      </c>
      <c r="C1796">
        <v>-0.87</v>
      </c>
      <c r="D1796">
        <v>-1.333079629696525</v>
      </c>
      <c r="E1796">
        <v>7.6437735759436617E-2</v>
      </c>
      <c r="F1796">
        <v>54.061752648376249</v>
      </c>
    </row>
    <row r="1797" spans="1:6" x14ac:dyDescent="0.3">
      <c r="A1797">
        <v>0.1</v>
      </c>
      <c r="B1797" t="s">
        <v>96</v>
      </c>
      <c r="C1797">
        <v>-0.86</v>
      </c>
      <c r="D1797">
        <v>-1.2933446720489712</v>
      </c>
      <c r="E1797">
        <v>7.6312282920256602E-2</v>
      </c>
      <c r="F1797">
        <v>55.585513019837585</v>
      </c>
    </row>
    <row r="1798" spans="1:6" x14ac:dyDescent="0.3">
      <c r="A1798">
        <v>0.1</v>
      </c>
      <c r="B1798" t="s">
        <v>96</v>
      </c>
      <c r="C1798">
        <v>-0.85</v>
      </c>
      <c r="D1798">
        <v>-1.2561528119880574</v>
      </c>
      <c r="E1798">
        <v>7.6188477934156382E-2</v>
      </c>
      <c r="F1798">
        <v>57.096590594086209</v>
      </c>
    </row>
    <row r="1799" spans="1:6" x14ac:dyDescent="0.3">
      <c r="A1799">
        <v>0.1</v>
      </c>
      <c r="B1799" t="s">
        <v>96</v>
      </c>
      <c r="C1799">
        <v>-0.84</v>
      </c>
      <c r="D1799">
        <v>-1.2211735176846021</v>
      </c>
      <c r="E1799">
        <v>7.6065961403340362E-2</v>
      </c>
      <c r="F1799">
        <v>58.599293165148403</v>
      </c>
    </row>
    <row r="1800" spans="1:6" x14ac:dyDescent="0.3">
      <c r="A1800">
        <v>0.1</v>
      </c>
      <c r="B1800" t="s">
        <v>96</v>
      </c>
      <c r="C1800">
        <v>-0.83</v>
      </c>
      <c r="D1800">
        <v>-1.1881364043926024</v>
      </c>
      <c r="E1800">
        <v>7.5944403510341874E-2</v>
      </c>
      <c r="F1800">
        <v>60.097362371054949</v>
      </c>
    </row>
    <row r="1801" spans="1:6" x14ac:dyDescent="0.3">
      <c r="A1801">
        <v>0.1</v>
      </c>
      <c r="B1801" t="s">
        <v>96</v>
      </c>
      <c r="C1801">
        <v>-0.82</v>
      </c>
      <c r="D1801">
        <v>-1.1568174645903151</v>
      </c>
      <c r="E1801">
        <v>7.5823530620771726E-2</v>
      </c>
      <c r="F1801">
        <v>61.594091764135072</v>
      </c>
    </row>
    <row r="1802" spans="1:6" x14ac:dyDescent="0.3">
      <c r="A1802">
        <v>0.1</v>
      </c>
      <c r="B1802" t="s">
        <v>96</v>
      </c>
      <c r="C1802">
        <v>-0.81</v>
      </c>
      <c r="D1802">
        <v>-1.1270290260496929</v>
      </c>
      <c r="E1802">
        <v>7.5703110691014583E-2</v>
      </c>
      <c r="F1802">
        <v>63.09242655854522</v>
      </c>
    </row>
    <row r="1803" spans="1:6" x14ac:dyDescent="0.3">
      <c r="A1803">
        <v>0.1</v>
      </c>
      <c r="B1803" t="s">
        <v>96</v>
      </c>
      <c r="C1803">
        <v>-0.8</v>
      </c>
      <c r="D1803">
        <v>-1.0986122886681098</v>
      </c>
      <c r="E1803">
        <v>7.5582922318172527E-2</v>
      </c>
      <c r="F1803">
        <v>64.595047850309285</v>
      </c>
    </row>
    <row r="1804" spans="1:6" x14ac:dyDescent="0.3">
      <c r="A1804">
        <v>0.1</v>
      </c>
      <c r="B1804" t="s">
        <v>96</v>
      </c>
      <c r="C1804">
        <v>-0.79</v>
      </c>
      <c r="D1804">
        <v>-1.0714316840586662</v>
      </c>
      <c r="E1804">
        <v>7.5462763109298892E-2</v>
      </c>
      <c r="F1804">
        <v>66.10442602549341</v>
      </c>
    </row>
    <row r="1805" spans="1:6" x14ac:dyDescent="0.3">
      <c r="A1805">
        <v>0.1</v>
      </c>
      <c r="B1805" t="s">
        <v>96</v>
      </c>
      <c r="C1805">
        <v>-0.78</v>
      </c>
      <c r="D1805">
        <v>-1.0453705484668847</v>
      </c>
      <c r="E1805">
        <v>7.5342456319215753E-2</v>
      </c>
      <c r="F1805">
        <v>67.622862310495861</v>
      </c>
    </row>
    <row r="1806" spans="1:6" x14ac:dyDescent="0.3">
      <c r="A1806">
        <v>0.1</v>
      </c>
      <c r="B1806" t="s">
        <v>96</v>
      </c>
      <c r="C1806">
        <v>-0.77</v>
      </c>
      <c r="D1806">
        <v>-1.0203277583223398</v>
      </c>
      <c r="E1806">
        <v>7.522185050751172E-2</v>
      </c>
      <c r="F1806">
        <v>69.152524000902702</v>
      </c>
    </row>
    <row r="1807" spans="1:6" x14ac:dyDescent="0.3">
      <c r="A1807">
        <v>0.1</v>
      </c>
      <c r="B1807" t="s">
        <v>96</v>
      </c>
      <c r="C1807">
        <v>-0.76</v>
      </c>
      <c r="D1807">
        <v>-0.99621508234510314</v>
      </c>
      <c r="E1807">
        <v>7.5100782051865489E-2</v>
      </c>
      <c r="F1807">
        <v>70.695489636798271</v>
      </c>
    </row>
    <row r="1808" spans="1:6" x14ac:dyDescent="0.3">
      <c r="A1808">
        <v>0.1</v>
      </c>
      <c r="B1808" t="s">
        <v>96</v>
      </c>
      <c r="C1808">
        <v>-0.75</v>
      </c>
      <c r="D1808">
        <v>-0.97295507452765673</v>
      </c>
      <c r="E1808">
        <v>7.4979096325543851E-2</v>
      </c>
      <c r="F1808">
        <v>72.253764724724775</v>
      </c>
    </row>
    <row r="1809" spans="1:6" x14ac:dyDescent="0.3">
      <c r="A1809">
        <v>0.1</v>
      </c>
      <c r="B1809" t="s">
        <v>96</v>
      </c>
      <c r="C1809">
        <v>-0.74</v>
      </c>
      <c r="D1809">
        <v>-0.95047938059652348</v>
      </c>
      <c r="E1809">
        <v>7.4856660488662963E-2</v>
      </c>
      <c r="F1809">
        <v>73.829296123443598</v>
      </c>
    </row>
    <row r="1810" spans="1:6" x14ac:dyDescent="0.3">
      <c r="A1810">
        <v>0.1</v>
      </c>
      <c r="B1810" t="s">
        <v>96</v>
      </c>
      <c r="C1810">
        <v>-0.73</v>
      </c>
      <c r="D1810">
        <v>-0.92872736424672497</v>
      </c>
      <c r="E1810">
        <v>7.4733349248959136E-2</v>
      </c>
      <c r="F1810">
        <v>75.423995611794879</v>
      </c>
    </row>
    <row r="1811" spans="1:6" x14ac:dyDescent="0.3">
      <c r="A1811">
        <v>0.1</v>
      </c>
      <c r="B1811" t="s">
        <v>96</v>
      </c>
      <c r="C1811">
        <v>-0.72</v>
      </c>
      <c r="D1811">
        <v>-0.90764498331912458</v>
      </c>
      <c r="E1811">
        <v>7.4609025912828794E-2</v>
      </c>
      <c r="F1811">
        <v>77.039764502637851</v>
      </c>
    </row>
    <row r="1812" spans="1:6" x14ac:dyDescent="0.3">
      <c r="A1812">
        <v>0.1</v>
      </c>
      <c r="B1812" t="s">
        <v>96</v>
      </c>
      <c r="C1812">
        <v>-0.71</v>
      </c>
      <c r="D1812">
        <v>-0.88718386325809284</v>
      </c>
      <c r="E1812">
        <v>7.4483571493366846E-2</v>
      </c>
      <c r="F1812">
        <v>78.678493537563924</v>
      </c>
    </row>
    <row r="1813" spans="1:6" x14ac:dyDescent="0.3">
      <c r="A1813">
        <v>0.1</v>
      </c>
      <c r="B1813" t="s">
        <v>96</v>
      </c>
      <c r="C1813">
        <v>-0.7</v>
      </c>
      <c r="D1813">
        <v>-0.86730052769405308</v>
      </c>
      <c r="E1813">
        <v>7.4356840354325854E-2</v>
      </c>
      <c r="F1813">
        <v>80.342097504479113</v>
      </c>
    </row>
    <row r="1814" spans="1:6" x14ac:dyDescent="0.3">
      <c r="A1814">
        <v>0.1</v>
      </c>
      <c r="B1814" t="s">
        <v>96</v>
      </c>
      <c r="C1814">
        <v>-0.69</v>
      </c>
      <c r="D1814">
        <v>-0.84795575521896349</v>
      </c>
      <c r="E1814">
        <v>7.4228748490461557E-2</v>
      </c>
      <c r="F1814">
        <v>82.032481602277983</v>
      </c>
    </row>
    <row r="1815" spans="1:6" x14ac:dyDescent="0.3">
      <c r="A1815">
        <v>0.1</v>
      </c>
      <c r="B1815" t="s">
        <v>96</v>
      </c>
      <c r="C1815">
        <v>-0.68</v>
      </c>
      <c r="D1815">
        <v>-0.82911403830176633</v>
      </c>
      <c r="E1815">
        <v>7.4099157296824855E-2</v>
      </c>
      <c r="F1815">
        <v>83.751611857001393</v>
      </c>
    </row>
    <row r="1816" spans="1:6" x14ac:dyDescent="0.3">
      <c r="A1816">
        <v>0.1</v>
      </c>
      <c r="B1816" t="s">
        <v>96</v>
      </c>
      <c r="C1816">
        <v>-0.67</v>
      </c>
      <c r="D1816">
        <v>-0.81074312547513749</v>
      </c>
      <c r="E1816">
        <v>7.3967925465067974E-2</v>
      </c>
      <c r="F1816">
        <v>85.50150015896692</v>
      </c>
    </row>
    <row r="1817" spans="1:6" x14ac:dyDescent="0.3">
      <c r="A1817">
        <v>0.1</v>
      </c>
      <c r="B1817" t="s">
        <v>96</v>
      </c>
      <c r="C1817">
        <v>-0.66</v>
      </c>
      <c r="D1817">
        <v>-0.79281363187019105</v>
      </c>
      <c r="E1817">
        <v>7.3834954314474052E-2</v>
      </c>
      <c r="F1817">
        <v>87.284188756829636</v>
      </c>
    </row>
    <row r="1818" spans="1:6" x14ac:dyDescent="0.3">
      <c r="A1818">
        <v>0.1</v>
      </c>
      <c r="B1818" t="s">
        <v>96</v>
      </c>
      <c r="C1818">
        <v>-0.65</v>
      </c>
      <c r="D1818">
        <v>-0.7752987062055835</v>
      </c>
      <c r="E1818">
        <v>7.370012038996461E-2</v>
      </c>
      <c r="F1818">
        <v>89.101796976392961</v>
      </c>
    </row>
    <row r="1819" spans="1:6" x14ac:dyDescent="0.3">
      <c r="A1819">
        <v>0.1</v>
      </c>
      <c r="B1819" t="s">
        <v>96</v>
      </c>
      <c r="C1819">
        <v>-0.64</v>
      </c>
      <c r="D1819">
        <v>-0.7581737446840443</v>
      </c>
      <c r="E1819">
        <v>7.3563289031963061E-2</v>
      </c>
      <c r="F1819">
        <v>90.956524904722912</v>
      </c>
    </row>
    <row r="1820" spans="1:6" x14ac:dyDescent="0.3">
      <c r="A1820">
        <v>0.1</v>
      </c>
      <c r="B1820" t="s">
        <v>96</v>
      </c>
      <c r="C1820">
        <v>-0.63</v>
      </c>
      <c r="D1820">
        <v>-0.74141614408126888</v>
      </c>
      <c r="E1820">
        <v>7.3424326011422972E-2</v>
      </c>
      <c r="F1820">
        <v>92.850657364080689</v>
      </c>
    </row>
    <row r="1821" spans="1:6" x14ac:dyDescent="0.3">
      <c r="A1821">
        <v>0.1</v>
      </c>
      <c r="B1821" t="s">
        <v>96</v>
      </c>
      <c r="C1821">
        <v>-0.62</v>
      </c>
      <c r="D1821">
        <v>-0.72500508775299921</v>
      </c>
      <c r="E1821">
        <v>7.3283122115585797E-2</v>
      </c>
      <c r="F1821">
        <v>94.786559019620157</v>
      </c>
    </row>
    <row r="1822" spans="1:6" x14ac:dyDescent="0.3">
      <c r="A1822">
        <v>0.1</v>
      </c>
      <c r="B1822" t="s">
        <v>96</v>
      </c>
      <c r="C1822">
        <v>-0.61</v>
      </c>
      <c r="D1822">
        <v>-0.7089213594274083</v>
      </c>
      <c r="E1822">
        <v>7.3139529140994503E-2</v>
      </c>
      <c r="F1822">
        <v>96.766724902376339</v>
      </c>
    </row>
    <row r="1823" spans="1:6" x14ac:dyDescent="0.3">
      <c r="A1823">
        <v>0.1</v>
      </c>
      <c r="B1823" t="s">
        <v>96</v>
      </c>
      <c r="C1823">
        <v>-0.6</v>
      </c>
      <c r="D1823">
        <v>-0.69314718055994529</v>
      </c>
      <c r="E1823">
        <v>7.2993400407132855E-2</v>
      </c>
      <c r="F1823">
        <v>98.793768215504727</v>
      </c>
    </row>
    <row r="1824" spans="1:6" x14ac:dyDescent="0.3">
      <c r="A1824">
        <v>0.1</v>
      </c>
      <c r="B1824" t="s">
        <v>96</v>
      </c>
      <c r="C1824">
        <v>-0.59</v>
      </c>
      <c r="D1824">
        <v>-0.67766606775796179</v>
      </c>
      <c r="E1824">
        <v>7.2844599642046662E-2</v>
      </c>
      <c r="F1824">
        <v>100.87042655013846</v>
      </c>
    </row>
    <row r="1825" spans="1:6" x14ac:dyDescent="0.3">
      <c r="A1825">
        <v>0.1</v>
      </c>
      <c r="B1825" t="s">
        <v>96</v>
      </c>
      <c r="C1825">
        <v>-0.57999999999999996</v>
      </c>
      <c r="D1825">
        <v>-0.66246270737179924</v>
      </c>
      <c r="E1825">
        <v>7.2692981768561871E-2</v>
      </c>
      <c r="F1825">
        <v>102.99958756859679</v>
      </c>
    </row>
    <row r="1826" spans="1:6" x14ac:dyDescent="0.3">
      <c r="A1826">
        <v>0.1</v>
      </c>
      <c r="B1826" t="s">
        <v>96</v>
      </c>
      <c r="C1826">
        <v>-0.56999999999999995</v>
      </c>
      <c r="D1826">
        <v>-0.64752284482737277</v>
      </c>
      <c r="E1826">
        <v>7.2538375627241414E-2</v>
      </c>
      <c r="F1826">
        <v>105.18431621204826</v>
      </c>
    </row>
    <row r="1827" spans="1:6" x14ac:dyDescent="0.3">
      <c r="A1827">
        <v>0.1</v>
      </c>
      <c r="B1827" t="s">
        <v>96</v>
      </c>
      <c r="C1827">
        <v>-0.56000000000000005</v>
      </c>
      <c r="D1827">
        <v>-0.63283318666563804</v>
      </c>
      <c r="E1827">
        <v>7.2380647626443209E-2</v>
      </c>
      <c r="F1827">
        <v>107.42782571505133</v>
      </c>
    </row>
    <row r="1828" spans="1:6" x14ac:dyDescent="0.3">
      <c r="A1828">
        <v>0.1</v>
      </c>
      <c r="B1828" t="s">
        <v>96</v>
      </c>
      <c r="C1828">
        <v>-0.55000000000000004</v>
      </c>
      <c r="D1828">
        <v>-0.61838131357446346</v>
      </c>
      <c r="E1828">
        <v>7.2219604014352567E-2</v>
      </c>
      <c r="F1828">
        <v>109.73356416153074</v>
      </c>
    </row>
    <row r="1829" spans="1:6" x14ac:dyDescent="0.3">
      <c r="A1829">
        <v>0.1</v>
      </c>
      <c r="B1829" t="s">
        <v>96</v>
      </c>
      <c r="C1829">
        <v>-0.54</v>
      </c>
      <c r="D1829">
        <v>-0.60415560296226711</v>
      </c>
      <c r="E1829">
        <v>7.2055068584568643E-2</v>
      </c>
      <c r="F1829">
        <v>112.10517838439473</v>
      </c>
    </row>
    <row r="1830" spans="1:6" x14ac:dyDescent="0.3">
      <c r="A1830">
        <v>0.1</v>
      </c>
      <c r="B1830" t="s">
        <v>96</v>
      </c>
      <c r="C1830">
        <v>-0.53</v>
      </c>
      <c r="D1830">
        <v>-0.59014515984118854</v>
      </c>
      <c r="E1830">
        <v>7.1886878161131595E-2</v>
      </c>
      <c r="F1830">
        <v>114.54653575654618</v>
      </c>
    </row>
    <row r="1831" spans="1:6" x14ac:dyDescent="0.3">
      <c r="A1831">
        <v>0.1</v>
      </c>
      <c r="B1831" t="s">
        <v>96</v>
      </c>
      <c r="C1831">
        <v>-0.52</v>
      </c>
      <c r="D1831">
        <v>-0.57633975496919276</v>
      </c>
      <c r="E1831">
        <v>7.1714817252840679E-2</v>
      </c>
      <c r="F1831">
        <v>117.06179766585346</v>
      </c>
    </row>
    <row r="1832" spans="1:6" x14ac:dyDescent="0.3">
      <c r="A1832">
        <v>0.1</v>
      </c>
      <c r="B1832" t="s">
        <v>96</v>
      </c>
      <c r="C1832">
        <v>-0.51</v>
      </c>
      <c r="D1832">
        <v>-0.56272976935214891</v>
      </c>
      <c r="E1832">
        <v>7.1538680885544811E-2</v>
      </c>
      <c r="F1832">
        <v>119.65539669964419</v>
      </c>
    </row>
    <row r="1833" spans="1:6" x14ac:dyDescent="0.3">
      <c r="A1833">
        <v>0.1</v>
      </c>
      <c r="B1833" t="s">
        <v>96</v>
      </c>
      <c r="C1833">
        <v>-0.5</v>
      </c>
      <c r="D1833">
        <v>-0.54930614433405489</v>
      </c>
      <c r="E1833">
        <v>7.1358260478879901E-2</v>
      </c>
      <c r="F1833">
        <v>122.33207432189626</v>
      </c>
    </row>
    <row r="1834" spans="1:6" x14ac:dyDescent="0.3">
      <c r="A1834">
        <v>0.1</v>
      </c>
      <c r="B1834" t="s">
        <v>96</v>
      </c>
      <c r="C1834">
        <v>-0.49</v>
      </c>
      <c r="D1834">
        <v>-0.53606033661056662</v>
      </c>
      <c r="E1834">
        <v>7.1173320005967516E-2</v>
      </c>
      <c r="F1834">
        <v>125.09693180059112</v>
      </c>
    </row>
    <row r="1835" spans="1:6" x14ac:dyDescent="0.3">
      <c r="A1835">
        <v>0.1</v>
      </c>
      <c r="B1835" t="s">
        <v>96</v>
      </c>
      <c r="C1835">
        <v>-0.48</v>
      </c>
      <c r="D1835">
        <v>-0.5229842775913438</v>
      </c>
      <c r="E1835">
        <v>7.0983621419519874E-2</v>
      </c>
      <c r="F1835">
        <v>127.9554433836356</v>
      </c>
    </row>
    <row r="1836" spans="1:6" x14ac:dyDescent="0.3">
      <c r="A1836">
        <v>0.1</v>
      </c>
      <c r="B1836" t="s">
        <v>96</v>
      </c>
      <c r="C1836">
        <v>-0.47</v>
      </c>
      <c r="D1836">
        <v>-0.51007033661330725</v>
      </c>
      <c r="E1836">
        <v>7.0788903113927007E-2</v>
      </c>
      <c r="F1836">
        <v>130.91351335539338</v>
      </c>
    </row>
    <row r="1837" spans="1:6" x14ac:dyDescent="0.3">
      <c r="A1837">
        <v>0.1</v>
      </c>
      <c r="B1837" t="s">
        <v>96</v>
      </c>
      <c r="C1837">
        <v>-0.46</v>
      </c>
      <c r="D1837">
        <v>-0.49731128757203097</v>
      </c>
      <c r="E1837">
        <v>7.0588883768144012E-2</v>
      </c>
      <c r="F1837">
        <v>133.97751654728864</v>
      </c>
    </row>
    <row r="1838" spans="1:6" x14ac:dyDescent="0.3">
      <c r="A1838">
        <v>0.1</v>
      </c>
      <c r="B1838" t="s">
        <v>96</v>
      </c>
      <c r="C1838">
        <v>-0.45</v>
      </c>
      <c r="D1838">
        <v>-0.48470027859405168</v>
      </c>
      <c r="E1838">
        <v>7.0383288846890588E-2</v>
      </c>
      <c r="F1838">
        <v>137.15432119488042</v>
      </c>
    </row>
    <row r="1839" spans="1:6" x14ac:dyDescent="0.3">
      <c r="A1839">
        <v>0.1</v>
      </c>
      <c r="B1839" t="s">
        <v>96</v>
      </c>
      <c r="C1839">
        <v>-0.44</v>
      </c>
      <c r="D1839">
        <v>-0.47223080442042559</v>
      </c>
      <c r="E1839">
        <v>7.01718001570968E-2</v>
      </c>
      <c r="F1839">
        <v>140.45139110225588</v>
      </c>
    </row>
    <row r="1840" spans="1:6" x14ac:dyDescent="0.3">
      <c r="A1840">
        <v>0.1</v>
      </c>
      <c r="B1840" t="s">
        <v>96</v>
      </c>
      <c r="C1840">
        <v>-0.43</v>
      </c>
      <c r="D1840">
        <v>-0.45989668121267852</v>
      </c>
      <c r="E1840">
        <v>6.995408588961724E-2</v>
      </c>
      <c r="F1840">
        <v>143.87681937895118</v>
      </c>
    </row>
    <row r="1841" spans="1:6" x14ac:dyDescent="0.3">
      <c r="A1841">
        <v>0.1</v>
      </c>
      <c r="B1841" t="s">
        <v>96</v>
      </c>
      <c r="C1841">
        <v>-0.42</v>
      </c>
      <c r="D1841">
        <v>-0.4476920235274206</v>
      </c>
      <c r="E1841">
        <v>6.9729787488854361E-2</v>
      </c>
      <c r="F1841">
        <v>147.4394112594384</v>
      </c>
    </row>
    <row r="1842" spans="1:6" x14ac:dyDescent="0.3">
      <c r="A1842">
        <v>0.1</v>
      </c>
      <c r="B1842" t="s">
        <v>96</v>
      </c>
      <c r="C1842">
        <v>-0.41</v>
      </c>
      <c r="D1842">
        <v>-0.43561122323622431</v>
      </c>
      <c r="E1842">
        <v>6.9498519651844573E-2</v>
      </c>
      <c r="F1842">
        <v>151.14876402297719</v>
      </c>
    </row>
    <row r="1843" spans="1:6" x14ac:dyDescent="0.3">
      <c r="A1843">
        <v>0.1</v>
      </c>
      <c r="B1843" t="s">
        <v>96</v>
      </c>
      <c r="C1843">
        <v>-0.4</v>
      </c>
      <c r="D1843">
        <v>-0.42364893019360178</v>
      </c>
      <c r="E1843">
        <v>6.92598922012157E-2</v>
      </c>
      <c r="F1843">
        <v>155.01533267439058</v>
      </c>
    </row>
    <row r="1844" spans="1:6" x14ac:dyDescent="0.3">
      <c r="A1844">
        <v>0.1</v>
      </c>
      <c r="B1844" t="s">
        <v>96</v>
      </c>
      <c r="C1844">
        <v>-0.39</v>
      </c>
      <c r="D1844">
        <v>-0.41180003447869035</v>
      </c>
      <c r="E1844">
        <v>6.9013457496776648E-2</v>
      </c>
      <c r="F1844">
        <v>159.05059126865677</v>
      </c>
    </row>
    <row r="1845" spans="1:6" x14ac:dyDescent="0.3">
      <c r="A1845">
        <v>0.1</v>
      </c>
      <c r="B1845" t="s">
        <v>96</v>
      </c>
      <c r="C1845">
        <v>-0.38</v>
      </c>
      <c r="D1845">
        <v>-0.40005965005605654</v>
      </c>
      <c r="E1845">
        <v>6.8758738175436429E-2</v>
      </c>
      <c r="F1845">
        <v>163.26712253447411</v>
      </c>
    </row>
    <row r="1846" spans="1:6" x14ac:dyDescent="0.3">
      <c r="A1846">
        <v>0.1</v>
      </c>
      <c r="B1846" t="s">
        <v>96</v>
      </c>
      <c r="C1846">
        <v>-0.37</v>
      </c>
      <c r="D1846">
        <v>-0.38842309971829614</v>
      </c>
      <c r="E1846">
        <v>6.8495225855935996E-2</v>
      </c>
      <c r="F1846">
        <v>167.67875534250391</v>
      </c>
    </row>
    <row r="1847" spans="1:6" x14ac:dyDescent="0.3">
      <c r="A1847">
        <v>0.1</v>
      </c>
      <c r="B1847" t="s">
        <v>96</v>
      </c>
      <c r="C1847">
        <v>-0.36</v>
      </c>
      <c r="D1847">
        <v>-0.37688590118819004</v>
      </c>
      <c r="E1847">
        <v>6.8222363839918615E-2</v>
      </c>
      <c r="F1847">
        <v>172.30074370689536</v>
      </c>
    </row>
    <row r="1848" spans="1:6" x14ac:dyDescent="0.3">
      <c r="A1848">
        <v>0.1</v>
      </c>
      <c r="B1848" t="s">
        <v>96</v>
      </c>
      <c r="C1848">
        <v>-0.35</v>
      </c>
      <c r="D1848">
        <v>-0.36544375427139619</v>
      </c>
      <c r="E1848">
        <v>6.7939585072987294E-2</v>
      </c>
      <c r="F1848">
        <v>177.1498998680843</v>
      </c>
    </row>
    <row r="1849" spans="1:6" x14ac:dyDescent="0.3">
      <c r="A1849">
        <v>0.1</v>
      </c>
      <c r="B1849" t="s">
        <v>96</v>
      </c>
      <c r="C1849">
        <v>-0.34</v>
      </c>
      <c r="D1849">
        <v>-0.35409252896224297</v>
      </c>
      <c r="E1849">
        <v>6.7646218402654321E-2</v>
      </c>
      <c r="F1849">
        <v>182.24492992836531</v>
      </c>
    </row>
    <row r="1850" spans="1:6" x14ac:dyDescent="0.3">
      <c r="A1850">
        <v>0.1</v>
      </c>
      <c r="B1850" t="s">
        <v>96</v>
      </c>
      <c r="C1850">
        <v>-0.33</v>
      </c>
      <c r="D1850">
        <v>-0.34282825441539394</v>
      </c>
      <c r="E1850">
        <v>6.7341567896935794E-2</v>
      </c>
      <c r="F1850">
        <v>187.60658027200128</v>
      </c>
    </row>
    <row r="1851" spans="1:6" x14ac:dyDescent="0.3">
      <c r="A1851">
        <v>0.1</v>
      </c>
      <c r="B1851" t="s">
        <v>96</v>
      </c>
      <c r="C1851">
        <v>-0.32</v>
      </c>
      <c r="D1851">
        <v>-0.3316471087051322</v>
      </c>
      <c r="E1851">
        <v>6.7024866039736036E-2</v>
      </c>
      <c r="F1851">
        <v>193.25799202856123</v>
      </c>
    </row>
    <row r="1852" spans="1:6" x14ac:dyDescent="0.3">
      <c r="A1852">
        <v>0.1</v>
      </c>
      <c r="B1852" t="s">
        <v>96</v>
      </c>
      <c r="C1852">
        <v>-0.31</v>
      </c>
      <c r="D1852">
        <v>-0.32054540930194608</v>
      </c>
      <c r="E1852">
        <v>6.6695287572024711E-2</v>
      </c>
      <c r="F1852">
        <v>199.22502576594385</v>
      </c>
    </row>
    <row r="1853" spans="1:6" x14ac:dyDescent="0.3">
      <c r="A1853">
        <v>0.1</v>
      </c>
      <c r="B1853" t="s">
        <v>96</v>
      </c>
      <c r="C1853">
        <v>-0.3</v>
      </c>
      <c r="D1853">
        <v>-0.30951960420311175</v>
      </c>
      <c r="E1853">
        <v>6.6351899953786236E-2</v>
      </c>
      <c r="F1853">
        <v>205.53674614464418</v>
      </c>
    </row>
    <row r="1854" spans="1:6" x14ac:dyDescent="0.3">
      <c r="A1854">
        <v>0.1</v>
      </c>
      <c r="B1854" t="s">
        <v>96</v>
      </c>
      <c r="C1854">
        <v>-0.28999999999999998</v>
      </c>
      <c r="D1854">
        <v>-0.29856626366017835</v>
      </c>
      <c r="E1854">
        <v>6.5993707022934597E-2</v>
      </c>
      <c r="F1854">
        <v>212.2258422256761</v>
      </c>
    </row>
    <row r="1855" spans="1:6" x14ac:dyDescent="0.3">
      <c r="A1855">
        <v>0.1</v>
      </c>
      <c r="B1855" t="s">
        <v>96</v>
      </c>
      <c r="C1855">
        <v>-0.28000000000000003</v>
      </c>
      <c r="D1855">
        <v>-0.2876820724517809</v>
      </c>
      <c r="E1855">
        <v>6.5619597692267398E-2</v>
      </c>
      <c r="F1855">
        <v>219.32929139852385</v>
      </c>
    </row>
    <row r="1856" spans="1:6" x14ac:dyDescent="0.3">
      <c r="A1856">
        <v>0.1</v>
      </c>
      <c r="B1856" t="s">
        <v>96</v>
      </c>
      <c r="C1856">
        <v>-0.27</v>
      </c>
      <c r="D1856">
        <v>-0.27686382265510007</v>
      </c>
      <c r="E1856">
        <v>6.5228386378859485E-2</v>
      </c>
      <c r="F1856">
        <v>226.88898954929977</v>
      </c>
    </row>
    <row r="1857" spans="1:6" x14ac:dyDescent="0.3">
      <c r="A1857">
        <v>0.1</v>
      </c>
      <c r="B1857" t="s">
        <v>96</v>
      </c>
      <c r="C1857">
        <v>-0.26</v>
      </c>
      <c r="D1857">
        <v>-0.26610840687365411</v>
      </c>
      <c r="E1857">
        <v>6.4818687137710107E-2</v>
      </c>
      <c r="F1857">
        <v>234.95282734395457</v>
      </c>
    </row>
    <row r="1858" spans="1:6" x14ac:dyDescent="0.3">
      <c r="A1858">
        <v>0.1</v>
      </c>
      <c r="B1858" t="s">
        <v>96</v>
      </c>
      <c r="C1858">
        <v>-0.25</v>
      </c>
      <c r="D1858">
        <v>-0.25541281188299536</v>
      </c>
      <c r="E1858">
        <v>6.4389023492048461E-2</v>
      </c>
      <c r="F1858">
        <v>243.57553150825672</v>
      </c>
    </row>
    <row r="1859" spans="1:6" x14ac:dyDescent="0.3">
      <c r="A1859">
        <v>0.1</v>
      </c>
      <c r="B1859" t="s">
        <v>96</v>
      </c>
      <c r="C1859">
        <v>-0.24</v>
      </c>
      <c r="D1859">
        <v>-0.24477411265935289</v>
      </c>
      <c r="E1859">
        <v>6.3937743513470174E-2</v>
      </c>
      <c r="F1859">
        <v>252.82009058526981</v>
      </c>
    </row>
    <row r="1860" spans="1:6" x14ac:dyDescent="0.3">
      <c r="A1860">
        <v>0.1</v>
      </c>
      <c r="B1860" t="s">
        <v>96</v>
      </c>
      <c r="C1860">
        <v>-0.23</v>
      </c>
      <c r="D1860">
        <v>-0.23418946675936678</v>
      </c>
      <c r="E1860">
        <v>6.3462971537166013E-2</v>
      </c>
      <c r="F1860">
        <v>262.75943745184969</v>
      </c>
    </row>
    <row r="1861" spans="1:6" x14ac:dyDescent="0.3">
      <c r="A1861">
        <v>0.1</v>
      </c>
      <c r="B1861" t="s">
        <v>96</v>
      </c>
      <c r="C1861">
        <v>-0.22</v>
      </c>
      <c r="D1861">
        <v>-0.22365610902183239</v>
      </c>
      <c r="E1861">
        <v>6.2962622375377794E-2</v>
      </c>
      <c r="F1861">
        <v>273.47839268850413</v>
      </c>
    </row>
    <row r="1862" spans="1:6" x14ac:dyDescent="0.3">
      <c r="A1862">
        <v>0.1</v>
      </c>
      <c r="B1862" t="s">
        <v>96</v>
      </c>
      <c r="C1862">
        <v>-0.21</v>
      </c>
      <c r="D1862">
        <v>-0.21317134656485975</v>
      </c>
      <c r="E1862">
        <v>6.2434360610008233E-2</v>
      </c>
      <c r="F1862">
        <v>285.07622558680055</v>
      </c>
    </row>
    <row r="1863" spans="1:6" x14ac:dyDescent="0.3">
      <c r="A1863">
        <v>0.1</v>
      </c>
      <c r="B1863" t="s">
        <v>96</v>
      </c>
      <c r="C1863">
        <v>-0.2</v>
      </c>
      <c r="D1863">
        <v>-0.20273255405408214</v>
      </c>
      <c r="E1863">
        <v>6.187552934789093E-2</v>
      </c>
      <c r="F1863">
        <v>297.66997042418654</v>
      </c>
    </row>
    <row r="1864" spans="1:6" x14ac:dyDescent="0.3">
      <c r="A1864">
        <v>0.1</v>
      </c>
      <c r="B1864" t="s">
        <v>96</v>
      </c>
      <c r="C1864">
        <v>-0.19</v>
      </c>
      <c r="D1864">
        <v>-0.1923371692195453</v>
      </c>
      <c r="E1864">
        <v>6.1283109839242227E-2</v>
      </c>
      <c r="F1864">
        <v>311.39857616233189</v>
      </c>
    </row>
    <row r="1865" spans="1:6" x14ac:dyDescent="0.3">
      <c r="A1865">
        <v>0.1</v>
      </c>
      <c r="B1865" t="s">
        <v>96</v>
      </c>
      <c r="C1865">
        <v>-0.18</v>
      </c>
      <c r="D1865">
        <v>-0.18198268860070579</v>
      </c>
      <c r="E1865">
        <v>6.0653673042412808E-2</v>
      </c>
      <c r="F1865">
        <v>326.42827916016398</v>
      </c>
    </row>
    <row r="1866" spans="1:6" x14ac:dyDescent="0.3">
      <c r="A1866">
        <v>0.1</v>
      </c>
      <c r="B1866" t="s">
        <v>96</v>
      </c>
      <c r="C1866">
        <v>-0.17</v>
      </c>
      <c r="D1866">
        <v>-0.17166666350057908</v>
      </c>
      <c r="E1866">
        <v>5.9983241258262855E-2</v>
      </c>
      <c r="F1866">
        <v>342.9599014943301</v>
      </c>
    </row>
    <row r="1867" spans="1:6" x14ac:dyDescent="0.3">
      <c r="A1867">
        <v>0.1</v>
      </c>
      <c r="B1867" t="s">
        <v>96</v>
      </c>
      <c r="C1867">
        <v>-0.16</v>
      </c>
      <c r="D1867">
        <v>-0.16138669613152551</v>
      </c>
      <c r="E1867">
        <v>5.926724096239231E-2</v>
      </c>
      <c r="F1867">
        <v>361.23820760216284</v>
      </c>
    </row>
    <row r="1868" spans="1:6" x14ac:dyDescent="0.3">
      <c r="A1868">
        <v>0.1</v>
      </c>
      <c r="B1868" t="s">
        <v>96</v>
      </c>
      <c r="C1868">
        <v>-0.15</v>
      </c>
      <c r="D1868">
        <v>-0.15114043593646675</v>
      </c>
      <c r="E1868">
        <v>5.8500360316282154E-2</v>
      </c>
      <c r="F1868">
        <v>381.56479831054003</v>
      </c>
    </row>
    <row r="1869" spans="1:6" x14ac:dyDescent="0.3">
      <c r="A1869">
        <v>0.1</v>
      </c>
      <c r="B1869" t="s">
        <v>96</v>
      </c>
      <c r="C1869">
        <v>-0.14000000000000001</v>
      </c>
      <c r="D1869">
        <v>-0.14092557607049394</v>
      </c>
      <c r="E1869">
        <v>5.7676325133291489E-2</v>
      </c>
      <c r="F1869">
        <v>404.31603858460898</v>
      </c>
    </row>
    <row r="1870" spans="1:6" x14ac:dyDescent="0.3">
      <c r="A1870">
        <v>0.1</v>
      </c>
      <c r="B1870" t="s">
        <v>96</v>
      </c>
      <c r="C1870">
        <v>-0.13</v>
      </c>
      <c r="D1870">
        <v>-0.13073985002887836</v>
      </c>
      <c r="E1870">
        <v>5.6787745872186421E-2</v>
      </c>
      <c r="F1870">
        <v>429.96768183543765</v>
      </c>
    </row>
    <row r="1871" spans="1:6" x14ac:dyDescent="0.3">
      <c r="A1871">
        <v>0.1</v>
      </c>
      <c r="B1871" t="s">
        <v>96</v>
      </c>
      <c r="C1871">
        <v>-0.12</v>
      </c>
      <c r="D1871">
        <v>-0.12058102840844405</v>
      </c>
      <c r="E1871">
        <v>5.5825762632078474E-2</v>
      </c>
      <c r="F1871">
        <v>459.13073919864712</v>
      </c>
    </row>
    <row r="1872" spans="1:6" x14ac:dyDescent="0.3">
      <c r="A1872">
        <v>0.1</v>
      </c>
      <c r="B1872" t="s">
        <v>96</v>
      </c>
      <c r="C1872">
        <v>-0.11</v>
      </c>
      <c r="D1872">
        <v>-0.1104469157900972</v>
      </c>
      <c r="E1872">
        <v>5.4779674370244814E-2</v>
      </c>
      <c r="F1872">
        <v>492.60369080028971</v>
      </c>
    </row>
    <row r="1873" spans="1:6" x14ac:dyDescent="0.3">
      <c r="A1873">
        <v>0.1</v>
      </c>
      <c r="B1873" t="s">
        <v>96</v>
      </c>
      <c r="C1873">
        <v>-0.1</v>
      </c>
      <c r="D1873">
        <v>-0.10033534773107562</v>
      </c>
      <c r="E1873">
        <v>5.3636321758010905E-2</v>
      </c>
      <c r="F1873">
        <v>531.4518243329037</v>
      </c>
    </row>
    <row r="1874" spans="1:6" x14ac:dyDescent="0.3">
      <c r="A1874">
        <v>0.1</v>
      </c>
      <c r="B1874" t="s">
        <v>96</v>
      </c>
      <c r="C1874">
        <v>-0.09</v>
      </c>
      <c r="D1874">
        <v>-9.0244187856146837E-2</v>
      </c>
      <c r="E1874">
        <v>5.237934829784148E-2</v>
      </c>
      <c r="F1874">
        <v>577.1302235997789</v>
      </c>
    </row>
    <row r="1875" spans="1:6" x14ac:dyDescent="0.3">
      <c r="A1875">
        <v>0.1</v>
      </c>
      <c r="B1875" t="s">
        <v>96</v>
      </c>
      <c r="C1875">
        <v>-0.08</v>
      </c>
      <c r="D1875">
        <v>-8.0171325037589683E-2</v>
      </c>
      <c r="E1875">
        <v>5.0987995317610293E-2</v>
      </c>
      <c r="F1875">
        <v>631.68364907066677</v>
      </c>
    </row>
    <row r="1876" spans="1:6" x14ac:dyDescent="0.3">
      <c r="A1876">
        <v>0.1</v>
      </c>
      <c r="B1876" t="s">
        <v>96</v>
      </c>
      <c r="C1876">
        <v>-7.0000000000000007E-2</v>
      </c>
      <c r="D1876">
        <v>-7.0114670654325195E-2</v>
      </c>
      <c r="E1876">
        <v>4.9435240991584091E-2</v>
      </c>
      <c r="F1876">
        <v>698.0858747514759</v>
      </c>
    </row>
    <row r="1877" spans="1:6" x14ac:dyDescent="0.3">
      <c r="A1877">
        <v>0.1</v>
      </c>
      <c r="B1877" t="s">
        <v>96</v>
      </c>
      <c r="C1877">
        <v>-0.06</v>
      </c>
      <c r="D1877">
        <v>-6.007215592103167E-2</v>
      </c>
      <c r="E1877">
        <v>4.768500093076785E-2</v>
      </c>
      <c r="F1877">
        <v>780.84674602348741</v>
      </c>
    </row>
    <row r="1878" spans="1:6" x14ac:dyDescent="0.3">
      <c r="A1878">
        <v>0.1</v>
      </c>
      <c r="B1878" t="s">
        <v>96</v>
      </c>
      <c r="C1878">
        <v>-0.05</v>
      </c>
      <c r="D1878">
        <v>-5.0041729278491327E-2</v>
      </c>
      <c r="E1878">
        <v>4.5687206005300587E-2</v>
      </c>
      <c r="F1878">
        <v>887.1803690418584</v>
      </c>
    </row>
    <row r="1879" spans="1:6" x14ac:dyDescent="0.3">
      <c r="A1879">
        <v>0.1</v>
      </c>
      <c r="B1879" t="s">
        <v>96</v>
      </c>
      <c r="C1879">
        <v>-0.04</v>
      </c>
      <c r="D1879">
        <v>-4.0021353836768248E-2</v>
      </c>
      <c r="E1879">
        <v>4.3368894812413149E-2</v>
      </c>
      <c r="F1879">
        <v>1029.4604186369361</v>
      </c>
    </row>
    <row r="1880" spans="1:6" x14ac:dyDescent="0.3">
      <c r="A1880">
        <v>0.1</v>
      </c>
      <c r="B1880" t="s">
        <v>96</v>
      </c>
      <c r="C1880">
        <v>-0.03</v>
      </c>
      <c r="D1880">
        <v>-3.000900486312652E-2</v>
      </c>
      <c r="E1880">
        <v>4.061621739692884E-2</v>
      </c>
      <c r="F1880">
        <v>1231.0441725832309</v>
      </c>
    </row>
    <row r="1881" spans="1:6" x14ac:dyDescent="0.3">
      <c r="A1881">
        <v>0.1</v>
      </c>
      <c r="B1881" t="s">
        <v>96</v>
      </c>
      <c r="C1881">
        <v>-0.02</v>
      </c>
      <c r="D1881">
        <v>-2.0002667306849624E-2</v>
      </c>
      <c r="E1881">
        <v>3.7232312176750527E-2</v>
      </c>
      <c r="F1881">
        <v>1542.7063540456213</v>
      </c>
    </row>
    <row r="1882" spans="1:6" x14ac:dyDescent="0.3">
      <c r="A1882">
        <v>0.1</v>
      </c>
      <c r="B1882" t="s">
        <v>96</v>
      </c>
      <c r="C1882">
        <v>-0.01</v>
      </c>
      <c r="D1882">
        <v>-1.0000333353334771E-2</v>
      </c>
      <c r="E1882">
        <v>3.2812402647965672E-2</v>
      </c>
      <c r="F1882">
        <v>2103.918388109958</v>
      </c>
    </row>
    <row r="1883" spans="1:6" x14ac:dyDescent="0.3">
      <c r="A1883">
        <v>0.05</v>
      </c>
      <c r="B1883" t="s">
        <v>96</v>
      </c>
      <c r="C1883">
        <v>-0.99</v>
      </c>
      <c r="D1883">
        <v>-2.6466524123622457</v>
      </c>
      <c r="E1883">
        <v>9.3904446886562895E-2</v>
      </c>
      <c r="F1883">
        <v>26.636124120366723</v>
      </c>
    </row>
    <row r="1884" spans="1:6" x14ac:dyDescent="0.3">
      <c r="A1884">
        <v>0.05</v>
      </c>
      <c r="B1884" t="s">
        <v>96</v>
      </c>
      <c r="C1884">
        <v>-0.98</v>
      </c>
      <c r="D1884">
        <v>-2.2975599250672945</v>
      </c>
      <c r="E1884">
        <v>9.3527400108932443E-2</v>
      </c>
      <c r="F1884">
        <v>30.155631110932106</v>
      </c>
    </row>
    <row r="1885" spans="1:6" x14ac:dyDescent="0.3">
      <c r="A1885">
        <v>0.05</v>
      </c>
      <c r="B1885" t="s">
        <v>96</v>
      </c>
      <c r="C1885">
        <v>-0.97</v>
      </c>
      <c r="D1885">
        <v>-2.0922957200349388</v>
      </c>
      <c r="E1885">
        <v>9.3251138705503722E-2</v>
      </c>
      <c r="F1885">
        <v>32.761569647703652</v>
      </c>
    </row>
    <row r="1886" spans="1:6" x14ac:dyDescent="0.3">
      <c r="A1886">
        <v>0.05</v>
      </c>
      <c r="B1886" t="s">
        <v>96</v>
      </c>
      <c r="C1886">
        <v>-0.96</v>
      </c>
      <c r="D1886">
        <v>-1.9459101490553128</v>
      </c>
      <c r="E1886">
        <v>9.3021203316860257E-2</v>
      </c>
      <c r="F1886">
        <v>34.948127316330805</v>
      </c>
    </row>
    <row r="1887" spans="1:6" x14ac:dyDescent="0.3">
      <c r="A1887">
        <v>0.05</v>
      </c>
      <c r="B1887" t="s">
        <v>96</v>
      </c>
      <c r="C1887">
        <v>-0.95</v>
      </c>
      <c r="D1887">
        <v>-1.8317808230648227</v>
      </c>
      <c r="E1887">
        <v>9.2818492587257148E-2</v>
      </c>
      <c r="F1887">
        <v>36.889420371815206</v>
      </c>
    </row>
    <row r="1888" spans="1:6" x14ac:dyDescent="0.3">
      <c r="A1888">
        <v>0.05</v>
      </c>
      <c r="B1888" t="s">
        <v>96</v>
      </c>
      <c r="C1888">
        <v>-0.94</v>
      </c>
      <c r="D1888">
        <v>-1.7380493449176362</v>
      </c>
      <c r="E1888">
        <v>9.2633770102813789E-2</v>
      </c>
      <c r="F1888">
        <v>38.669559839853783</v>
      </c>
    </row>
    <row r="1889" spans="1:6" x14ac:dyDescent="0.3">
      <c r="A1889">
        <v>0.05</v>
      </c>
      <c r="B1889" t="s">
        <v>96</v>
      </c>
      <c r="C1889">
        <v>-0.93</v>
      </c>
      <c r="D1889">
        <v>-1.6583900199247865</v>
      </c>
      <c r="E1889">
        <v>9.2461787076415405E-2</v>
      </c>
      <c r="F1889">
        <v>40.336408292528397</v>
      </c>
    </row>
    <row r="1890" spans="1:6" x14ac:dyDescent="0.3">
      <c r="A1890">
        <v>0.05</v>
      </c>
      <c r="B1890" t="s">
        <v>96</v>
      </c>
      <c r="C1890">
        <v>-0.92</v>
      </c>
      <c r="D1890">
        <v>-1.5890269151739731</v>
      </c>
      <c r="E1890">
        <v>9.2299276904787994E-2</v>
      </c>
      <c r="F1890">
        <v>41.920152689534206</v>
      </c>
    </row>
    <row r="1891" spans="1:6" x14ac:dyDescent="0.3">
      <c r="A1891">
        <v>0.05</v>
      </c>
      <c r="B1891" t="s">
        <v>96</v>
      </c>
      <c r="C1891">
        <v>-0.91</v>
      </c>
      <c r="D1891">
        <v>-1.5275244253552054</v>
      </c>
      <c r="E1891">
        <v>9.2143981059362459E-2</v>
      </c>
      <c r="F1891">
        <v>43.441274118529769</v>
      </c>
    </row>
    <row r="1892" spans="1:6" x14ac:dyDescent="0.3">
      <c r="A1892">
        <v>0.05</v>
      </c>
      <c r="B1892" t="s">
        <v>96</v>
      </c>
      <c r="C1892">
        <v>-0.9</v>
      </c>
      <c r="D1892">
        <v>-1.4722194895832204</v>
      </c>
      <c r="E1892">
        <v>9.1994337516222754E-2</v>
      </c>
      <c r="F1892">
        <v>44.914414774278349</v>
      </c>
    </row>
    <row r="1893" spans="1:6" x14ac:dyDescent="0.3">
      <c r="A1893">
        <v>0.05</v>
      </c>
      <c r="B1893" t="s">
        <v>96</v>
      </c>
      <c r="C1893">
        <v>-0.89</v>
      </c>
      <c r="D1893">
        <v>-1.421925871130636</v>
      </c>
      <c r="E1893">
        <v>9.1849157145632965E-2</v>
      </c>
      <c r="F1893">
        <v>46.350511292364885</v>
      </c>
    </row>
    <row r="1894" spans="1:6" x14ac:dyDescent="0.3">
      <c r="A1894">
        <v>0.05</v>
      </c>
      <c r="B1894" t="s">
        <v>96</v>
      </c>
      <c r="C1894">
        <v>-0.88</v>
      </c>
      <c r="D1894">
        <v>-1.3757676565209744</v>
      </c>
      <c r="E1894">
        <v>9.1707531780388984E-2</v>
      </c>
      <c r="F1894">
        <v>47.758011332306396</v>
      </c>
    </row>
    <row r="1895" spans="1:6" x14ac:dyDescent="0.3">
      <c r="A1895">
        <v>0.05</v>
      </c>
      <c r="B1895" t="s">
        <v>96</v>
      </c>
      <c r="C1895">
        <v>-0.87</v>
      </c>
      <c r="D1895">
        <v>-1.333079629696525</v>
      </c>
      <c r="E1895">
        <v>9.1568745445658115E-2</v>
      </c>
      <c r="F1895">
        <v>49.143632509473896</v>
      </c>
    </row>
    <row r="1896" spans="1:6" x14ac:dyDescent="0.3">
      <c r="A1896">
        <v>0.05</v>
      </c>
      <c r="B1896" t="s">
        <v>96</v>
      </c>
      <c r="C1896">
        <v>-0.86</v>
      </c>
      <c r="D1896">
        <v>-1.2933446720489712</v>
      </c>
      <c r="E1896">
        <v>9.1432216094927216E-2</v>
      </c>
      <c r="F1896">
        <v>50.51285332214767</v>
      </c>
    </row>
    <row r="1897" spans="1:6" x14ac:dyDescent="0.3">
      <c r="A1897">
        <v>0.05</v>
      </c>
      <c r="B1897" t="s">
        <v>96</v>
      </c>
      <c r="C1897">
        <v>-0.85</v>
      </c>
      <c r="D1897">
        <v>-1.2561528119880574</v>
      </c>
      <c r="E1897">
        <v>9.1297478506693786E-2</v>
      </c>
      <c r="F1897">
        <v>51.870235526428736</v>
      </c>
    </row>
    <row r="1898" spans="1:6" x14ac:dyDescent="0.3">
      <c r="A1898">
        <v>0.05</v>
      </c>
      <c r="B1898" t="s">
        <v>96</v>
      </c>
      <c r="C1898">
        <v>-0.84</v>
      </c>
      <c r="D1898">
        <v>-1.2211735176846021</v>
      </c>
      <c r="E1898">
        <v>9.1164109458887477E-2</v>
      </c>
      <c r="F1898">
        <v>53.219668887938937</v>
      </c>
    </row>
    <row r="1899" spans="1:6" x14ac:dyDescent="0.3">
      <c r="A1899">
        <v>0.05</v>
      </c>
      <c r="B1899" t="s">
        <v>96</v>
      </c>
      <c r="C1899">
        <v>-0.83</v>
      </c>
      <c r="D1899">
        <v>-1.1881364043926024</v>
      </c>
      <c r="E1899">
        <v>9.1031768829575976E-2</v>
      </c>
      <c r="F1899">
        <v>54.56451420883603</v>
      </c>
    </row>
    <row r="1900" spans="1:6" x14ac:dyDescent="0.3">
      <c r="A1900">
        <v>0.05</v>
      </c>
      <c r="B1900" t="s">
        <v>96</v>
      </c>
      <c r="C1900">
        <v>-0.82</v>
      </c>
      <c r="D1900">
        <v>-1.1568174645903151</v>
      </c>
      <c r="E1900">
        <v>9.0900174273242026E-2</v>
      </c>
      <c r="F1900">
        <v>55.907725549942569</v>
      </c>
    </row>
    <row r="1901" spans="1:6" x14ac:dyDescent="0.3">
      <c r="A1901">
        <v>0.05</v>
      </c>
      <c r="B1901" t="s">
        <v>96</v>
      </c>
      <c r="C1901">
        <v>-0.81</v>
      </c>
      <c r="D1901">
        <v>-1.1270290260496929</v>
      </c>
      <c r="E1901">
        <v>9.0769040089616074E-2</v>
      </c>
      <c r="F1901">
        <v>57.251958121365213</v>
      </c>
    </row>
    <row r="1902" spans="1:6" x14ac:dyDescent="0.3">
      <c r="A1902">
        <v>0.05</v>
      </c>
      <c r="B1902" t="s">
        <v>96</v>
      </c>
      <c r="C1902">
        <v>-0.8</v>
      </c>
      <c r="D1902">
        <v>-1.0986122886681098</v>
      </c>
      <c r="E1902">
        <v>9.0638152416791948E-2</v>
      </c>
      <c r="F1902">
        <v>58.599605534182324</v>
      </c>
    </row>
    <row r="1903" spans="1:6" x14ac:dyDescent="0.3">
      <c r="A1903">
        <v>0.05</v>
      </c>
      <c r="B1903" t="s">
        <v>96</v>
      </c>
      <c r="C1903">
        <v>-0.79</v>
      </c>
      <c r="D1903">
        <v>-1.0714316840586662</v>
      </c>
      <c r="E1903">
        <v>9.0507268259587534E-2</v>
      </c>
      <c r="F1903">
        <v>59.952888571649865</v>
      </c>
    </row>
    <row r="1904" spans="1:6" x14ac:dyDescent="0.3">
      <c r="A1904">
        <v>0.05</v>
      </c>
      <c r="B1904" t="s">
        <v>96</v>
      </c>
      <c r="C1904">
        <v>-0.78</v>
      </c>
      <c r="D1904">
        <v>-1.0453705484668847</v>
      </c>
      <c r="E1904">
        <v>9.0376222061563871E-2</v>
      </c>
      <c r="F1904">
        <v>61.313853431615712</v>
      </c>
    </row>
    <row r="1905" spans="1:6" x14ac:dyDescent="0.3">
      <c r="A1905">
        <v>0.05</v>
      </c>
      <c r="B1905" t="s">
        <v>96</v>
      </c>
      <c r="C1905">
        <v>-0.77</v>
      </c>
      <c r="D1905">
        <v>-1.0203277583223398</v>
      </c>
      <c r="E1905">
        <v>9.0244835965415576E-2</v>
      </c>
      <c r="F1905">
        <v>62.684438572113201</v>
      </c>
    </row>
    <row r="1906" spans="1:6" x14ac:dyDescent="0.3">
      <c r="A1906">
        <v>0.05</v>
      </c>
      <c r="B1906" t="s">
        <v>96</v>
      </c>
      <c r="C1906">
        <v>-0.76</v>
      </c>
      <c r="D1906">
        <v>-0.99621508234510314</v>
      </c>
      <c r="E1906">
        <v>9.0112907001246301E-2</v>
      </c>
      <c r="F1906">
        <v>64.06650769146971</v>
      </c>
    </row>
    <row r="1907" spans="1:6" x14ac:dyDescent="0.3">
      <c r="A1907">
        <v>0.05</v>
      </c>
      <c r="B1907" t="s">
        <v>96</v>
      </c>
      <c r="C1907">
        <v>-0.75</v>
      </c>
      <c r="D1907">
        <v>-0.97295507452765673</v>
      </c>
      <c r="E1907">
        <v>8.9980306160638332E-2</v>
      </c>
      <c r="F1907">
        <v>65.461829072070202</v>
      </c>
    </row>
    <row r="1908" spans="1:6" x14ac:dyDescent="0.3">
      <c r="A1908">
        <v>0.05</v>
      </c>
      <c r="B1908" t="s">
        <v>96</v>
      </c>
      <c r="C1908">
        <v>-0.74</v>
      </c>
      <c r="D1908">
        <v>-0.95047938059652348</v>
      </c>
      <c r="E1908">
        <v>8.9846873462650037E-2</v>
      </c>
      <c r="F1908">
        <v>66.872138260003766</v>
      </c>
    </row>
    <row r="1909" spans="1:6" x14ac:dyDescent="0.3">
      <c r="A1909">
        <v>0.05</v>
      </c>
      <c r="B1909" t="s">
        <v>96</v>
      </c>
      <c r="C1909">
        <v>-0.73</v>
      </c>
      <c r="D1909">
        <v>-0.92872736424672497</v>
      </c>
      <c r="E1909">
        <v>8.9712457672846607E-2</v>
      </c>
      <c r="F1909">
        <v>68.299137179094174</v>
      </c>
    </row>
    <row r="1910" spans="1:6" x14ac:dyDescent="0.3">
      <c r="A1910">
        <v>0.05</v>
      </c>
      <c r="B1910" t="s">
        <v>96</v>
      </c>
      <c r="C1910">
        <v>-0.72</v>
      </c>
      <c r="D1910">
        <v>-0.90764498331912458</v>
      </c>
      <c r="E1910">
        <v>8.9576928880860954E-2</v>
      </c>
      <c r="F1910">
        <v>69.744501588056266</v>
      </c>
    </row>
    <row r="1911" spans="1:6" x14ac:dyDescent="0.3">
      <c r="A1911">
        <v>0.05</v>
      </c>
      <c r="B1911" t="s">
        <v>96</v>
      </c>
      <c r="C1911">
        <v>-0.71</v>
      </c>
      <c r="D1911">
        <v>-0.88718386325809284</v>
      </c>
      <c r="E1911">
        <v>8.9440151426187706E-2</v>
      </c>
      <c r="F1911">
        <v>71.209905564668105</v>
      </c>
    </row>
    <row r="1912" spans="1:6" x14ac:dyDescent="0.3">
      <c r="A1912">
        <v>0.05</v>
      </c>
      <c r="B1912" t="s">
        <v>96</v>
      </c>
      <c r="C1912">
        <v>-0.7</v>
      </c>
      <c r="D1912">
        <v>-0.86730052769405308</v>
      </c>
      <c r="E1912">
        <v>8.9301989534418647E-2</v>
      </c>
      <c r="F1912">
        <v>72.697030179659109</v>
      </c>
    </row>
    <row r="1913" spans="1:6" x14ac:dyDescent="0.3">
      <c r="A1913">
        <v>0.05</v>
      </c>
      <c r="B1913" t="s">
        <v>96</v>
      </c>
      <c r="C1913">
        <v>-0.69</v>
      </c>
      <c r="D1913">
        <v>-0.84795575521896349</v>
      </c>
      <c r="E1913">
        <v>8.9162293315962649E-2</v>
      </c>
      <c r="F1913">
        <v>74.207581008111944</v>
      </c>
    </row>
    <row r="1914" spans="1:6" x14ac:dyDescent="0.3">
      <c r="A1914">
        <v>0.05</v>
      </c>
      <c r="B1914" t="s">
        <v>96</v>
      </c>
      <c r="C1914">
        <v>-0.68</v>
      </c>
      <c r="D1914">
        <v>-0.82911403830176633</v>
      </c>
      <c r="E1914">
        <v>8.9020948484630769E-2</v>
      </c>
      <c r="F1914">
        <v>75.743272380340571</v>
      </c>
    </row>
    <row r="1915" spans="1:6" x14ac:dyDescent="0.3">
      <c r="A1915">
        <v>0.05</v>
      </c>
      <c r="B1915" t="s">
        <v>96</v>
      </c>
      <c r="C1915">
        <v>-0.67</v>
      </c>
      <c r="D1915">
        <v>-0.81074312547513749</v>
      </c>
      <c r="E1915">
        <v>8.8877808619083565E-2</v>
      </c>
      <c r="F1915">
        <v>77.30587096956944</v>
      </c>
    </row>
    <row r="1916" spans="1:6" x14ac:dyDescent="0.3">
      <c r="A1916">
        <v>0.05</v>
      </c>
      <c r="B1916" t="s">
        <v>96</v>
      </c>
      <c r="C1916">
        <v>-0.66</v>
      </c>
      <c r="D1916">
        <v>-0.79281363187019105</v>
      </c>
      <c r="E1916">
        <v>8.8732741798497758E-2</v>
      </c>
      <c r="F1916">
        <v>78.897180884502916</v>
      </c>
    </row>
    <row r="1917" spans="1:6" x14ac:dyDescent="0.3">
      <c r="A1917">
        <v>0.05</v>
      </c>
      <c r="B1917" t="s">
        <v>96</v>
      </c>
      <c r="C1917">
        <v>-0.65</v>
      </c>
      <c r="D1917">
        <v>-0.7752987062055835</v>
      </c>
      <c r="E1917">
        <v>8.8585625731257819E-2</v>
      </c>
      <c r="F1917">
        <v>80.519054258075059</v>
      </c>
    </row>
    <row r="1918" spans="1:6" x14ac:dyDescent="0.3">
      <c r="A1918">
        <v>0.05</v>
      </c>
      <c r="B1918" t="s">
        <v>96</v>
      </c>
      <c r="C1918">
        <v>-0.64</v>
      </c>
      <c r="D1918">
        <v>-0.7581737446840443</v>
      </c>
      <c r="E1918">
        <v>8.8436327521131758E-2</v>
      </c>
      <c r="F1918">
        <v>82.17341106997884</v>
      </c>
    </row>
    <row r="1919" spans="1:6" x14ac:dyDescent="0.3">
      <c r="A1919">
        <v>0.05</v>
      </c>
      <c r="B1919" t="s">
        <v>96</v>
      </c>
      <c r="C1919">
        <v>-0.63</v>
      </c>
      <c r="D1919">
        <v>-0.74141614408126888</v>
      </c>
      <c r="E1919">
        <v>8.8284670049080596E-2</v>
      </c>
      <c r="F1919">
        <v>83.862268661857172</v>
      </c>
    </row>
    <row r="1920" spans="1:6" x14ac:dyDescent="0.3">
      <c r="A1920">
        <v>0.05</v>
      </c>
      <c r="B1920" t="s">
        <v>96</v>
      </c>
      <c r="C1920">
        <v>-0.62</v>
      </c>
      <c r="D1920">
        <v>-0.72500508775299921</v>
      </c>
      <c r="E1920">
        <v>8.8130546753391589E-2</v>
      </c>
      <c r="F1920">
        <v>85.587684131885155</v>
      </c>
    </row>
    <row r="1921" spans="1:6" x14ac:dyDescent="0.3">
      <c r="A1921">
        <v>0.05</v>
      </c>
      <c r="B1921" t="s">
        <v>96</v>
      </c>
      <c r="C1921">
        <v>-0.61</v>
      </c>
      <c r="D1921">
        <v>-0.7089213594274083</v>
      </c>
      <c r="E1921">
        <v>8.7973781717730321E-2</v>
      </c>
      <c r="F1921">
        <v>87.351845886639111</v>
      </c>
    </row>
    <row r="1922" spans="1:6" x14ac:dyDescent="0.3">
      <c r="A1922">
        <v>0.05</v>
      </c>
      <c r="B1922" t="s">
        <v>96</v>
      </c>
      <c r="C1922">
        <v>-0.6</v>
      </c>
      <c r="D1922">
        <v>-0.69314718055994529</v>
      </c>
      <c r="E1922">
        <v>8.7814242356179323E-2</v>
      </c>
      <c r="F1922">
        <v>89.157016692835697</v>
      </c>
    </row>
    <row r="1923" spans="1:6" x14ac:dyDescent="0.3">
      <c r="A1923">
        <v>0.05</v>
      </c>
      <c r="B1923" t="s">
        <v>96</v>
      </c>
      <c r="C1923">
        <v>-0.59</v>
      </c>
      <c r="D1923">
        <v>-0.67766606775796179</v>
      </c>
      <c r="E1923">
        <v>8.7651761254184682E-2</v>
      </c>
      <c r="F1923">
        <v>91.005591940284077</v>
      </c>
    </row>
    <row r="1924" spans="1:6" x14ac:dyDescent="0.3">
      <c r="A1924">
        <v>0.05</v>
      </c>
      <c r="B1924" t="s">
        <v>96</v>
      </c>
      <c r="C1924">
        <v>-0.57999999999999996</v>
      </c>
      <c r="D1924">
        <v>-0.66246270737179924</v>
      </c>
      <c r="E1924">
        <v>8.7486174460849636E-2</v>
      </c>
      <c r="F1924">
        <v>92.900087801672299</v>
      </c>
    </row>
    <row r="1925" spans="1:6" x14ac:dyDescent="0.3">
      <c r="A1925">
        <v>0.05</v>
      </c>
      <c r="B1925" t="s">
        <v>96</v>
      </c>
      <c r="C1925">
        <v>-0.56999999999999995</v>
      </c>
      <c r="D1925">
        <v>-0.64752284482737277</v>
      </c>
      <c r="E1925">
        <v>8.7317316074334142E-2</v>
      </c>
      <c r="F1925">
        <v>94.843156606941406</v>
      </c>
    </row>
    <row r="1926" spans="1:6" x14ac:dyDescent="0.3">
      <c r="A1926">
        <v>0.05</v>
      </c>
      <c r="B1926" t="s">
        <v>96</v>
      </c>
      <c r="C1926">
        <v>-0.56000000000000005</v>
      </c>
      <c r="D1926">
        <v>-0.63283318666563804</v>
      </c>
      <c r="E1926">
        <v>8.7145013517177017E-2</v>
      </c>
      <c r="F1926">
        <v>96.837603159594693</v>
      </c>
    </row>
    <row r="1927" spans="1:6" x14ac:dyDescent="0.3">
      <c r="A1927">
        <v>0.05</v>
      </c>
      <c r="B1927" t="s">
        <v>96</v>
      </c>
      <c r="C1927">
        <v>-0.55000000000000004</v>
      </c>
      <c r="D1927">
        <v>-0.61838131357446346</v>
      </c>
      <c r="E1927">
        <v>8.6969057608120334E-2</v>
      </c>
      <c r="F1927">
        <v>98.886420749239619</v>
      </c>
    </row>
    <row r="1928" spans="1:6" x14ac:dyDescent="0.3">
      <c r="A1928">
        <v>0.05</v>
      </c>
      <c r="B1928" t="s">
        <v>96</v>
      </c>
      <c r="C1928">
        <v>-0.54</v>
      </c>
      <c r="D1928">
        <v>-0.60415560296226711</v>
      </c>
      <c r="E1928">
        <v>8.678927786028319E-2</v>
      </c>
      <c r="F1928">
        <v>100.99275398400884</v>
      </c>
    </row>
    <row r="1929" spans="1:6" x14ac:dyDescent="0.3">
      <c r="A1929">
        <v>0.05</v>
      </c>
      <c r="B1929" t="s">
        <v>96</v>
      </c>
      <c r="C1929">
        <v>-0.53</v>
      </c>
      <c r="D1929">
        <v>-0.59014515984118854</v>
      </c>
      <c r="E1929">
        <v>8.6605460471908882E-2</v>
      </c>
      <c r="F1929">
        <v>103.15997392895608</v>
      </c>
    </row>
    <row r="1930" spans="1:6" x14ac:dyDescent="0.3">
      <c r="A1930">
        <v>0.05</v>
      </c>
      <c r="B1930" t="s">
        <v>96</v>
      </c>
      <c r="C1930">
        <v>-0.52</v>
      </c>
      <c r="D1930">
        <v>-0.57633975496919276</v>
      </c>
      <c r="E1930">
        <v>8.6417385628707793E-2</v>
      </c>
      <c r="F1930">
        <v>105.39167134607332</v>
      </c>
    </row>
    <row r="1931" spans="1:6" x14ac:dyDescent="0.3">
      <c r="A1931">
        <v>0.05</v>
      </c>
      <c r="B1931" t="s">
        <v>96</v>
      </c>
      <c r="C1931">
        <v>-0.51</v>
      </c>
      <c r="D1931">
        <v>-0.56272976935214891</v>
      </c>
      <c r="E1931">
        <v>8.6224837558072795E-2</v>
      </c>
      <c r="F1931">
        <v>107.69166934639574</v>
      </c>
    </row>
    <row r="1932" spans="1:6" x14ac:dyDescent="0.3">
      <c r="A1932">
        <v>0.05</v>
      </c>
      <c r="B1932" t="s">
        <v>96</v>
      </c>
      <c r="C1932">
        <v>-0.5</v>
      </c>
      <c r="D1932">
        <v>-0.54930614433405489</v>
      </c>
      <c r="E1932">
        <v>8.6027554543204321E-2</v>
      </c>
      <c r="F1932">
        <v>110.06408592806612</v>
      </c>
    </row>
    <row r="1933" spans="1:6" x14ac:dyDescent="0.3">
      <c r="A1933">
        <v>0.05</v>
      </c>
      <c r="B1933" t="s">
        <v>96</v>
      </c>
      <c r="C1933">
        <v>-0.49</v>
      </c>
      <c r="D1933">
        <v>-0.53606033661056662</v>
      </c>
      <c r="E1933">
        <v>8.5825313540770082E-2</v>
      </c>
      <c r="F1933">
        <v>112.51329236495567</v>
      </c>
    </row>
    <row r="1934" spans="1:6" x14ac:dyDescent="0.3">
      <c r="A1934">
        <v>0.05</v>
      </c>
      <c r="B1934" t="s">
        <v>96</v>
      </c>
      <c r="C1934">
        <v>-0.48</v>
      </c>
      <c r="D1934">
        <v>-0.5229842775913438</v>
      </c>
      <c r="E1934">
        <v>8.5617822731721083E-2</v>
      </c>
      <c r="F1934">
        <v>115.04402876645443</v>
      </c>
    </row>
    <row r="1935" spans="1:6" x14ac:dyDescent="0.3">
      <c r="A1935">
        <v>0.05</v>
      </c>
      <c r="B1935" t="s">
        <v>96</v>
      </c>
      <c r="C1935">
        <v>-0.47</v>
      </c>
      <c r="D1935">
        <v>-0.51007033661330725</v>
      </c>
      <c r="E1935">
        <v>8.5404818234891808E-2</v>
      </c>
      <c r="F1935">
        <v>117.66135662036383</v>
      </c>
    </row>
    <row r="1936" spans="1:6" x14ac:dyDescent="0.3">
      <c r="A1936">
        <v>0.05</v>
      </c>
      <c r="B1936" t="s">
        <v>96</v>
      </c>
      <c r="C1936">
        <v>-0.46</v>
      </c>
      <c r="D1936">
        <v>-0.49731128757203097</v>
      </c>
      <c r="E1936">
        <v>8.5185973870253798E-2</v>
      </c>
      <c r="F1936">
        <v>120.37077149095005</v>
      </c>
    </row>
    <row r="1937" spans="1:6" x14ac:dyDescent="0.3">
      <c r="A1937">
        <v>0.05</v>
      </c>
      <c r="B1937" t="s">
        <v>96</v>
      </c>
      <c r="C1937">
        <v>-0.45</v>
      </c>
      <c r="D1937">
        <v>-0.48470027859405168</v>
      </c>
      <c r="E1937">
        <v>8.4960985313409718E-2</v>
      </c>
      <c r="F1937">
        <v>123.17817006316137</v>
      </c>
    </row>
    <row r="1938" spans="1:6" x14ac:dyDescent="0.3">
      <c r="A1938">
        <v>0.05</v>
      </c>
      <c r="B1938" t="s">
        <v>96</v>
      </c>
      <c r="C1938">
        <v>-0.44</v>
      </c>
      <c r="D1938">
        <v>-0.47223080442042559</v>
      </c>
      <c r="E1938">
        <v>8.4729506958195228E-2</v>
      </c>
      <c r="F1938">
        <v>126.08995081699871</v>
      </c>
    </row>
    <row r="1939" spans="1:6" x14ac:dyDescent="0.3">
      <c r="A1939">
        <v>0.05</v>
      </c>
      <c r="B1939" t="s">
        <v>96</v>
      </c>
      <c r="C1939">
        <v>-0.43</v>
      </c>
      <c r="D1939">
        <v>-0.45989668121267852</v>
      </c>
      <c r="E1939">
        <v>8.4491170428479728E-2</v>
      </c>
      <c r="F1939">
        <v>129.11304932298918</v>
      </c>
    </row>
    <row r="1940" spans="1:6" x14ac:dyDescent="0.3">
      <c r="A1940">
        <v>0.05</v>
      </c>
      <c r="B1940" t="s">
        <v>96</v>
      </c>
      <c r="C1940">
        <v>-0.42</v>
      </c>
      <c r="D1940">
        <v>-0.4476920235274206</v>
      </c>
      <c r="E1940">
        <v>8.4245581860945898E-2</v>
      </c>
      <c r="F1940">
        <v>132.25499866564826</v>
      </c>
    </row>
    <row r="1941" spans="1:6" x14ac:dyDescent="0.3">
      <c r="A1941">
        <v>0.05</v>
      </c>
      <c r="B1941" t="s">
        <v>96</v>
      </c>
      <c r="C1941">
        <v>-0.41</v>
      </c>
      <c r="D1941">
        <v>-0.43561122323622431</v>
      </c>
      <c r="E1941">
        <v>8.3992320998532002E-2</v>
      </c>
      <c r="F1941">
        <v>135.52399586959922</v>
      </c>
    </row>
    <row r="1942" spans="1:6" x14ac:dyDescent="0.3">
      <c r="A1942">
        <v>0.05</v>
      </c>
      <c r="B1942" t="s">
        <v>96</v>
      </c>
      <c r="C1942">
        <v>-0.4</v>
      </c>
      <c r="D1942">
        <v>-0.42364893019360178</v>
      </c>
      <c r="E1942">
        <v>8.3730942068708111E-2</v>
      </c>
      <c r="F1942">
        <v>138.92897519085639</v>
      </c>
    </row>
    <row r="1943" spans="1:6" x14ac:dyDescent="0.3">
      <c r="A1943">
        <v>0.05</v>
      </c>
      <c r="B1943" t="s">
        <v>96</v>
      </c>
      <c r="C1943">
        <v>-0.39</v>
      </c>
      <c r="D1943">
        <v>-0.41180003447869035</v>
      </c>
      <c r="E1943">
        <v>8.3460951729238661E-2</v>
      </c>
      <c r="F1943">
        <v>142.47971678096798</v>
      </c>
    </row>
    <row r="1944" spans="1:6" x14ac:dyDescent="0.3">
      <c r="A1944">
        <v>0.05</v>
      </c>
      <c r="B1944" t="s">
        <v>96</v>
      </c>
      <c r="C1944">
        <v>-0.38</v>
      </c>
      <c r="D1944">
        <v>-0.40005965005605654</v>
      </c>
      <c r="E1944">
        <v>8.3181835049973396E-2</v>
      </c>
      <c r="F1944">
        <v>146.18691646603978</v>
      </c>
    </row>
    <row r="1945" spans="1:6" x14ac:dyDescent="0.3">
      <c r="A1945">
        <v>0.05</v>
      </c>
      <c r="B1945" t="s">
        <v>96</v>
      </c>
      <c r="C1945">
        <v>-0.37</v>
      </c>
      <c r="D1945">
        <v>-0.38842309971829614</v>
      </c>
      <c r="E1945">
        <v>8.2893023908549385E-2</v>
      </c>
      <c r="F1945">
        <v>150.06233221493983</v>
      </c>
    </row>
    <row r="1946" spans="1:6" x14ac:dyDescent="0.3">
      <c r="A1946">
        <v>0.05</v>
      </c>
      <c r="B1946" t="s">
        <v>96</v>
      </c>
      <c r="C1946">
        <v>-0.36</v>
      </c>
      <c r="D1946">
        <v>-0.37688590118819004</v>
      </c>
      <c r="E1946">
        <v>8.2593918018505769E-2</v>
      </c>
      <c r="F1946">
        <v>154.11888939464203</v>
      </c>
    </row>
    <row r="1947" spans="1:6" x14ac:dyDescent="0.3">
      <c r="A1947">
        <v>0.05</v>
      </c>
      <c r="B1947" t="s">
        <v>96</v>
      </c>
      <c r="C1947">
        <v>-0.35</v>
      </c>
      <c r="D1947">
        <v>-0.36544375427139619</v>
      </c>
      <c r="E1947">
        <v>8.2283837652635292E-2</v>
      </c>
      <c r="F1947">
        <v>158.37088699306409</v>
      </c>
    </row>
    <row r="1948" spans="1:6" x14ac:dyDescent="0.3">
      <c r="A1948">
        <v>0.05</v>
      </c>
      <c r="B1948" t="s">
        <v>96</v>
      </c>
      <c r="C1948">
        <v>-0.34</v>
      </c>
      <c r="D1948">
        <v>-0.35409252896224297</v>
      </c>
      <c r="E1948">
        <v>8.1962097346698334E-2</v>
      </c>
      <c r="F1948">
        <v>162.83408015759036</v>
      </c>
    </row>
    <row r="1949" spans="1:6" x14ac:dyDescent="0.3">
      <c r="A1949">
        <v>0.05</v>
      </c>
      <c r="B1949" t="s">
        <v>96</v>
      </c>
      <c r="C1949">
        <v>-0.33</v>
      </c>
      <c r="D1949">
        <v>-0.34282825441539394</v>
      </c>
      <c r="E1949">
        <v>8.162789808101277E-2</v>
      </c>
      <c r="F1949">
        <v>167.52601707217588</v>
      </c>
    </row>
    <row r="1950" spans="1:6" x14ac:dyDescent="0.3">
      <c r="A1950">
        <v>0.05</v>
      </c>
      <c r="B1950" t="s">
        <v>96</v>
      </c>
      <c r="C1950">
        <v>-0.32</v>
      </c>
      <c r="D1950">
        <v>-0.3316471087051322</v>
      </c>
      <c r="E1950">
        <v>8.1280408805425891E-2</v>
      </c>
      <c r="F1950">
        <v>172.46617216365689</v>
      </c>
    </row>
    <row r="1951" spans="1:6" x14ac:dyDescent="0.3">
      <c r="A1951">
        <v>0.05</v>
      </c>
      <c r="B1951" t="s">
        <v>96</v>
      </c>
      <c r="C1951">
        <v>-0.31</v>
      </c>
      <c r="D1951">
        <v>-0.32054540930194608</v>
      </c>
      <c r="E1951">
        <v>8.0918690105661176E-2</v>
      </c>
      <c r="F1951">
        <v>177.67632593134914</v>
      </c>
    </row>
    <row r="1952" spans="1:6" x14ac:dyDescent="0.3">
      <c r="A1952">
        <v>0.05</v>
      </c>
      <c r="B1952" t="s">
        <v>96</v>
      </c>
      <c r="C1952">
        <v>-0.3</v>
      </c>
      <c r="D1952">
        <v>-0.30951960420311175</v>
      </c>
      <c r="E1952">
        <v>8.0541714816660226E-2</v>
      </c>
      <c r="F1952">
        <v>183.18086969901418</v>
      </c>
    </row>
    <row r="1953" spans="1:6" x14ac:dyDescent="0.3">
      <c r="A1953">
        <v>0.05</v>
      </c>
      <c r="B1953" t="s">
        <v>96</v>
      </c>
      <c r="C1953">
        <v>-0.28999999999999998</v>
      </c>
      <c r="D1953">
        <v>-0.29856626366017835</v>
      </c>
      <c r="E1953">
        <v>8.0148408388140163E-2</v>
      </c>
      <c r="F1953">
        <v>189.00713187180088</v>
      </c>
    </row>
    <row r="1954" spans="1:6" x14ac:dyDescent="0.3">
      <c r="A1954">
        <v>0.05</v>
      </c>
      <c r="B1954" t="s">
        <v>96</v>
      </c>
      <c r="C1954">
        <v>-0.28000000000000003</v>
      </c>
      <c r="D1954">
        <v>-0.2876820724517809</v>
      </c>
      <c r="E1954">
        <v>7.9737530106376089E-2</v>
      </c>
      <c r="F1954">
        <v>195.18602193764892</v>
      </c>
    </row>
    <row r="1955" spans="1:6" x14ac:dyDescent="0.3">
      <c r="A1955">
        <v>0.05</v>
      </c>
      <c r="B1955" t="s">
        <v>96</v>
      </c>
      <c r="C1955">
        <v>-0.27</v>
      </c>
      <c r="D1955">
        <v>-0.27686382265510007</v>
      </c>
      <c r="E1955">
        <v>7.9307716770594172E-2</v>
      </c>
      <c r="F1955">
        <v>201.75253089017465</v>
      </c>
    </row>
    <row r="1956" spans="1:6" x14ac:dyDescent="0.3">
      <c r="A1956">
        <v>0.05</v>
      </c>
      <c r="B1956" t="s">
        <v>96</v>
      </c>
      <c r="C1956">
        <v>-0.26</v>
      </c>
      <c r="D1956">
        <v>-0.26610840687365411</v>
      </c>
      <c r="E1956">
        <v>7.8857498731543296E-2</v>
      </c>
      <c r="F1956">
        <v>208.74637542651683</v>
      </c>
    </row>
    <row r="1957" spans="1:6" x14ac:dyDescent="0.3">
      <c r="A1957">
        <v>0.05</v>
      </c>
      <c r="B1957" t="s">
        <v>96</v>
      </c>
      <c r="C1957">
        <v>-0.25</v>
      </c>
      <c r="D1957">
        <v>-0.25541281188299536</v>
      </c>
      <c r="E1957">
        <v>7.8385202230952633E-2</v>
      </c>
      <c r="F1957">
        <v>216.2129847181879</v>
      </c>
    </row>
    <row r="1958" spans="1:6" x14ac:dyDescent="0.3">
      <c r="A1958">
        <v>0.05</v>
      </c>
      <c r="B1958" t="s">
        <v>96</v>
      </c>
      <c r="C1958">
        <v>-0.24</v>
      </c>
      <c r="D1958">
        <v>-0.24477411265935289</v>
      </c>
      <c r="E1958">
        <v>7.7888992247335531E-2</v>
      </c>
      <c r="F1958">
        <v>224.20443369603677</v>
      </c>
    </row>
    <row r="1959" spans="1:6" x14ac:dyDescent="0.3">
      <c r="A1959">
        <v>0.05</v>
      </c>
      <c r="B1959" t="s">
        <v>96</v>
      </c>
      <c r="C1959">
        <v>-0.23</v>
      </c>
      <c r="D1959">
        <v>-0.23418946675936678</v>
      </c>
      <c r="E1959">
        <v>7.736682095798969E-2</v>
      </c>
      <c r="F1959">
        <v>232.78077088800546</v>
      </c>
    </row>
    <row r="1960" spans="1:6" x14ac:dyDescent="0.3">
      <c r="A1960">
        <v>0.05</v>
      </c>
      <c r="B1960" t="s">
        <v>96</v>
      </c>
      <c r="C1960">
        <v>-0.22</v>
      </c>
      <c r="D1960">
        <v>-0.22365610902183239</v>
      </c>
      <c r="E1960">
        <v>7.6816353833689691E-2</v>
      </c>
      <c r="F1960">
        <v>242.0117075601797</v>
      </c>
    </row>
    <row r="1961" spans="1:6" x14ac:dyDescent="0.3">
      <c r="A1961">
        <v>0.05</v>
      </c>
      <c r="B1961" t="s">
        <v>96</v>
      </c>
      <c r="C1961">
        <v>-0.21</v>
      </c>
      <c r="D1961">
        <v>-0.21317134656485975</v>
      </c>
      <c r="E1961">
        <v>7.623500429749748E-2</v>
      </c>
      <c r="F1961">
        <v>251.97847685827833</v>
      </c>
    </row>
    <row r="1962" spans="1:6" x14ac:dyDescent="0.3">
      <c r="A1962">
        <v>0.05</v>
      </c>
      <c r="B1962" t="s">
        <v>96</v>
      </c>
      <c r="C1962">
        <v>-0.2</v>
      </c>
      <c r="D1962">
        <v>-0.20273255405408214</v>
      </c>
      <c r="E1962">
        <v>7.5619833728596722E-2</v>
      </c>
      <c r="F1962">
        <v>262.77647715263799</v>
      </c>
    </row>
    <row r="1963" spans="1:6" x14ac:dyDescent="0.3">
      <c r="A1963">
        <v>0.05</v>
      </c>
      <c r="B1963" t="s">
        <v>96</v>
      </c>
      <c r="C1963">
        <v>-0.19</v>
      </c>
      <c r="D1963">
        <v>-0.1923371692195453</v>
      </c>
      <c r="E1963">
        <v>7.4967486052898449E-2</v>
      </c>
      <c r="F1963">
        <v>274.5185407961693</v>
      </c>
    </row>
    <row r="1964" spans="1:6" x14ac:dyDescent="0.3">
      <c r="A1964">
        <v>0.05</v>
      </c>
      <c r="B1964" t="s">
        <v>96</v>
      </c>
      <c r="C1964">
        <v>-0.18</v>
      </c>
      <c r="D1964">
        <v>-0.18198268860070579</v>
      </c>
      <c r="E1964">
        <v>7.4274156672650984E-2</v>
      </c>
      <c r="F1964">
        <v>287.33902545913628</v>
      </c>
    </row>
    <row r="1965" spans="1:6" x14ac:dyDescent="0.3">
      <c r="A1965">
        <v>0.05</v>
      </c>
      <c r="B1965" t="s">
        <v>96</v>
      </c>
      <c r="C1965">
        <v>-0.17</v>
      </c>
      <c r="D1965">
        <v>-0.17166666350057908</v>
      </c>
      <c r="E1965">
        <v>7.353545695528331E-2</v>
      </c>
      <c r="F1965">
        <v>301.39940127673191</v>
      </c>
    </row>
    <row r="1966" spans="1:6" x14ac:dyDescent="0.3">
      <c r="A1966">
        <v>0.05</v>
      </c>
      <c r="B1966" t="s">
        <v>96</v>
      </c>
      <c r="C1966">
        <v>-0.16</v>
      </c>
      <c r="D1966">
        <v>-0.16138669613152551</v>
      </c>
      <c r="E1966">
        <v>7.27463207023792E-2</v>
      </c>
      <c r="F1966">
        <v>316.89545594992899</v>
      </c>
    </row>
    <row r="1967" spans="1:6" x14ac:dyDescent="0.3">
      <c r="A1967">
        <v>0.05</v>
      </c>
      <c r="B1967" t="s">
        <v>96</v>
      </c>
      <c r="C1967">
        <v>-0.15</v>
      </c>
      <c r="D1967">
        <v>-0.15114043593646675</v>
      </c>
      <c r="E1967">
        <v>7.1900858554176578E-2</v>
      </c>
      <c r="F1967">
        <v>334.06703691664632</v>
      </c>
    </row>
    <row r="1968" spans="1:6" x14ac:dyDescent="0.3">
      <c r="A1968">
        <v>0.05</v>
      </c>
      <c r="B1968" t="s">
        <v>96</v>
      </c>
      <c r="C1968">
        <v>-0.14000000000000001</v>
      </c>
      <c r="D1968">
        <v>-0.14092557607049394</v>
      </c>
      <c r="E1968">
        <v>7.0992155954095443E-2</v>
      </c>
      <c r="F1968">
        <v>353.21140156262311</v>
      </c>
    </row>
    <row r="1969" spans="1:6" x14ac:dyDescent="0.3">
      <c r="A1969">
        <v>0.05</v>
      </c>
      <c r="B1969" t="s">
        <v>96</v>
      </c>
      <c r="C1969">
        <v>-0.13</v>
      </c>
      <c r="D1969">
        <v>-0.13073985002887836</v>
      </c>
      <c r="E1969">
        <v>7.0012037805361069E-2</v>
      </c>
      <c r="F1969">
        <v>374.70168325986492</v>
      </c>
    </row>
    <row r="1970" spans="1:6" x14ac:dyDescent="0.3">
      <c r="A1970">
        <v>0.05</v>
      </c>
      <c r="B1970" t="s">
        <v>96</v>
      </c>
      <c r="C1970">
        <v>-0.12</v>
      </c>
      <c r="D1970">
        <v>-0.12058102840844405</v>
      </c>
      <c r="E1970">
        <v>6.8950734221975785E-2</v>
      </c>
      <c r="F1970">
        <v>399.01315716298029</v>
      </c>
    </row>
    <row r="1971" spans="1:6" x14ac:dyDescent="0.3">
      <c r="A1971">
        <v>0.05</v>
      </c>
      <c r="B1971" t="s">
        <v>96</v>
      </c>
      <c r="C1971">
        <v>-0.11</v>
      </c>
      <c r="D1971">
        <v>-0.1104469157900972</v>
      </c>
      <c r="E1971">
        <v>6.7796454934645936E-2</v>
      </c>
      <c r="F1971">
        <v>426.76125665262595</v>
      </c>
    </row>
    <row r="1972" spans="1:6" x14ac:dyDescent="0.3">
      <c r="A1972">
        <v>0.05</v>
      </c>
      <c r="B1972" t="s">
        <v>96</v>
      </c>
      <c r="C1972">
        <v>-0.1</v>
      </c>
      <c r="D1972">
        <v>-0.10033534773107562</v>
      </c>
      <c r="E1972">
        <v>6.653477178192517E-2</v>
      </c>
      <c r="F1972">
        <v>458.758337377548</v>
      </c>
    </row>
    <row r="1973" spans="1:6" x14ac:dyDescent="0.3">
      <c r="A1973">
        <v>0.05</v>
      </c>
      <c r="B1973" t="s">
        <v>96</v>
      </c>
      <c r="C1973">
        <v>-0.09</v>
      </c>
      <c r="D1973">
        <v>-9.0244187856146837E-2</v>
      </c>
      <c r="E1973">
        <v>6.514778299755504E-2</v>
      </c>
      <c r="F1973">
        <v>496.10068715543986</v>
      </c>
    </row>
    <row r="1974" spans="1:6" x14ac:dyDescent="0.3">
      <c r="A1974">
        <v>0.05</v>
      </c>
      <c r="B1974" t="s">
        <v>96</v>
      </c>
      <c r="C1974">
        <v>-0.08</v>
      </c>
      <c r="D1974">
        <v>-8.0171325037589683E-2</v>
      </c>
      <c r="E1974">
        <v>6.3612814921572475E-2</v>
      </c>
      <c r="F1974">
        <v>540.3074838132062</v>
      </c>
    </row>
    <row r="1975" spans="1:6" x14ac:dyDescent="0.3">
      <c r="A1975">
        <v>0.05</v>
      </c>
      <c r="B1975" t="s">
        <v>96</v>
      </c>
      <c r="C1975">
        <v>-7.0000000000000007E-2</v>
      </c>
      <c r="D1975">
        <v>-7.0114670654325195E-2</v>
      </c>
      <c r="E1975">
        <v>6.1900609431859668E-2</v>
      </c>
      <c r="F1975">
        <v>593.55075340194276</v>
      </c>
    </row>
    <row r="1976" spans="1:6" x14ac:dyDescent="0.3">
      <c r="A1976">
        <v>0.05</v>
      </c>
      <c r="B1976" t="s">
        <v>96</v>
      </c>
      <c r="C1976">
        <v>-0.06</v>
      </c>
      <c r="D1976">
        <v>-6.007215592103167E-2</v>
      </c>
      <c r="E1976">
        <v>5.9972272091057252E-2</v>
      </c>
      <c r="F1976">
        <v>659.05875594612792</v>
      </c>
    </row>
    <row r="1977" spans="1:6" x14ac:dyDescent="0.3">
      <c r="A1977">
        <v>0.05</v>
      </c>
      <c r="B1977" t="s">
        <v>96</v>
      </c>
      <c r="C1977">
        <v>-0.05</v>
      </c>
      <c r="D1977">
        <v>-5.0041729278491327E-2</v>
      </c>
      <c r="E1977">
        <v>5.7774431270536129E-2</v>
      </c>
      <c r="F1977">
        <v>741.86612278041139</v>
      </c>
    </row>
    <row r="1978" spans="1:6" x14ac:dyDescent="0.3">
      <c r="A1978">
        <v>0.05</v>
      </c>
      <c r="B1978" t="s">
        <v>96</v>
      </c>
      <c r="C1978">
        <v>-0.04</v>
      </c>
      <c r="D1978">
        <v>-4.0021353836768248E-2</v>
      </c>
      <c r="E1978">
        <v>5.5230361793554499E-2</v>
      </c>
      <c r="F1978">
        <v>850.33240349902167</v>
      </c>
    </row>
    <row r="1979" spans="1:6" x14ac:dyDescent="0.3">
      <c r="A1979">
        <v>0.05</v>
      </c>
      <c r="B1979" t="s">
        <v>96</v>
      </c>
      <c r="C1979">
        <v>-0.03</v>
      </c>
      <c r="D1979">
        <v>-3.000900486312652E-2</v>
      </c>
      <c r="E1979">
        <v>5.2222822338663037E-2</v>
      </c>
      <c r="F1979">
        <v>999.56026366490096</v>
      </c>
    </row>
    <row r="1980" spans="1:6" x14ac:dyDescent="0.3">
      <c r="A1980">
        <v>0.05</v>
      </c>
      <c r="B1980" t="s">
        <v>96</v>
      </c>
      <c r="C1980">
        <v>-0.02</v>
      </c>
      <c r="D1980">
        <v>-2.0002667306849624E-2</v>
      </c>
      <c r="E1980">
        <v>4.8555709786020772E-2</v>
      </c>
      <c r="F1980">
        <v>1220.3541047579704</v>
      </c>
    </row>
    <row r="1981" spans="1:6" x14ac:dyDescent="0.3">
      <c r="A1981">
        <v>0.05</v>
      </c>
      <c r="B1981" t="s">
        <v>96</v>
      </c>
      <c r="C1981">
        <v>-0.01</v>
      </c>
      <c r="D1981">
        <v>-1.0000333353334771E-2</v>
      </c>
      <c r="E1981">
        <v>4.3849493106051331E-2</v>
      </c>
      <c r="F1981">
        <v>1588.8692340653379</v>
      </c>
    </row>
    <row r="1982" spans="1:6" x14ac:dyDescent="0.3">
      <c r="A1982">
        <v>0.01</v>
      </c>
      <c r="B1982" t="s">
        <v>96</v>
      </c>
      <c r="C1982">
        <v>-0.99</v>
      </c>
      <c r="D1982">
        <v>-2.6466524123622457</v>
      </c>
      <c r="E1982">
        <v>0.1240891243258663</v>
      </c>
      <c r="F1982">
        <v>21.890269729632266</v>
      </c>
    </row>
    <row r="1983" spans="1:6" x14ac:dyDescent="0.3">
      <c r="A1983">
        <v>0.01</v>
      </c>
      <c r="B1983" t="s">
        <v>96</v>
      </c>
      <c r="C1983">
        <v>-0.98</v>
      </c>
      <c r="D1983">
        <v>-2.2975599250672945</v>
      </c>
      <c r="E1983">
        <v>0.12368863880478564</v>
      </c>
      <c r="F1983">
        <v>24.685115604096822</v>
      </c>
    </row>
    <row r="1984" spans="1:6" x14ac:dyDescent="0.3">
      <c r="A1984">
        <v>0.01</v>
      </c>
      <c r="B1984" t="s">
        <v>96</v>
      </c>
      <c r="C1984">
        <v>-0.97</v>
      </c>
      <c r="D1984">
        <v>-2.0922957200349388</v>
      </c>
      <c r="E1984">
        <v>0.12339502461406814</v>
      </c>
      <c r="F1984">
        <v>26.751520462631934</v>
      </c>
    </row>
    <row r="1985" spans="1:6" x14ac:dyDescent="0.3">
      <c r="A1985">
        <v>0.01</v>
      </c>
      <c r="B1985" t="s">
        <v>96</v>
      </c>
      <c r="C1985">
        <v>-0.96</v>
      </c>
      <c r="D1985">
        <v>-1.9459101490553128</v>
      </c>
      <c r="E1985">
        <v>0.12315051947663887</v>
      </c>
      <c r="F1985">
        <v>28.483428774675247</v>
      </c>
    </row>
    <row r="1986" spans="1:6" x14ac:dyDescent="0.3">
      <c r="A1986">
        <v>0.01</v>
      </c>
      <c r="B1986" t="s">
        <v>96</v>
      </c>
      <c r="C1986">
        <v>-0.95</v>
      </c>
      <c r="D1986">
        <v>-1.8317808230648227</v>
      </c>
      <c r="E1986">
        <v>0.12293488262430291</v>
      </c>
      <c r="F1986">
        <v>30.019582646448558</v>
      </c>
    </row>
    <row r="1987" spans="1:6" x14ac:dyDescent="0.3">
      <c r="A1987">
        <v>0.01</v>
      </c>
      <c r="B1987" t="s">
        <v>96</v>
      </c>
      <c r="C1987">
        <v>-0.94</v>
      </c>
      <c r="D1987">
        <v>-1.7380493449176362</v>
      </c>
      <c r="E1987">
        <v>0.12273830607950849</v>
      </c>
      <c r="F1987">
        <v>31.426990080403765</v>
      </c>
    </row>
    <row r="1988" spans="1:6" x14ac:dyDescent="0.3">
      <c r="A1988">
        <v>0.01</v>
      </c>
      <c r="B1988" t="s">
        <v>96</v>
      </c>
      <c r="C1988">
        <v>-0.93</v>
      </c>
      <c r="D1988">
        <v>-1.6583900199247865</v>
      </c>
      <c r="E1988">
        <v>0.12255523208279873</v>
      </c>
      <c r="F1988">
        <v>32.743765858925158</v>
      </c>
    </row>
    <row r="1989" spans="1:6" x14ac:dyDescent="0.3">
      <c r="A1989">
        <v>0.01</v>
      </c>
      <c r="B1989" t="s">
        <v>96</v>
      </c>
      <c r="C1989">
        <v>-0.92</v>
      </c>
      <c r="D1989">
        <v>-1.5890269151739731</v>
      </c>
      <c r="E1989">
        <v>0.12238218009288185</v>
      </c>
      <c r="F1989">
        <v>33.993943031986134</v>
      </c>
    </row>
    <row r="1990" spans="1:6" x14ac:dyDescent="0.3">
      <c r="A1990">
        <v>0.01</v>
      </c>
      <c r="B1990" t="s">
        <v>96</v>
      </c>
      <c r="C1990">
        <v>-0.91</v>
      </c>
      <c r="D1990">
        <v>-1.5275244253552054</v>
      </c>
      <c r="E1990">
        <v>0.12221677066305593</v>
      </c>
      <c r="F1990">
        <v>35.193816106671441</v>
      </c>
    </row>
    <row r="1991" spans="1:6" x14ac:dyDescent="0.3">
      <c r="A1991">
        <v>0.01</v>
      </c>
      <c r="B1991" t="s">
        <v>96</v>
      </c>
      <c r="C1991">
        <v>-0.9</v>
      </c>
      <c r="D1991">
        <v>-1.4722194895832204</v>
      </c>
      <c r="E1991">
        <v>0.12205733661118011</v>
      </c>
      <c r="F1991">
        <v>36.35503009506877</v>
      </c>
    </row>
    <row r="1992" spans="1:6" x14ac:dyDescent="0.3">
      <c r="A1992">
        <v>0.01</v>
      </c>
      <c r="B1992" t="s">
        <v>96</v>
      </c>
      <c r="C1992">
        <v>-0.89</v>
      </c>
      <c r="D1992">
        <v>-1.421925871130636</v>
      </c>
      <c r="E1992">
        <v>0.12190261132111166</v>
      </c>
      <c r="F1992">
        <v>37.486278069271982</v>
      </c>
    </row>
    <row r="1993" spans="1:6" x14ac:dyDescent="0.3">
      <c r="A1993">
        <v>0.01</v>
      </c>
      <c r="B1993" t="s">
        <v>96</v>
      </c>
      <c r="C1993">
        <v>-0.88</v>
      </c>
      <c r="D1993">
        <v>-1.3757676565209744</v>
      </c>
      <c r="E1993">
        <v>0.12175163639599483</v>
      </c>
      <c r="F1993">
        <v>38.59426596929773</v>
      </c>
    </row>
    <row r="1994" spans="1:6" x14ac:dyDescent="0.3">
      <c r="A1994">
        <v>0.01</v>
      </c>
      <c r="B1994" t="s">
        <v>96</v>
      </c>
      <c r="C1994">
        <v>-0.87</v>
      </c>
      <c r="D1994">
        <v>-1.333079629696525</v>
      </c>
      <c r="E1994">
        <v>0.12160365815163264</v>
      </c>
      <c r="F1994">
        <v>39.684319871342836</v>
      </c>
    </row>
    <row r="1995" spans="1:6" x14ac:dyDescent="0.3">
      <c r="A1995">
        <v>0.01</v>
      </c>
      <c r="B1995" t="s">
        <v>96</v>
      </c>
      <c r="C1995">
        <v>-0.86</v>
      </c>
      <c r="D1995">
        <v>-1.2933446720489712</v>
      </c>
      <c r="E1995">
        <v>0.12145804817433394</v>
      </c>
      <c r="F1995">
        <v>40.760782892143006</v>
      </c>
    </row>
    <row r="1996" spans="1:6" x14ac:dyDescent="0.3">
      <c r="A1996">
        <v>0.01</v>
      </c>
      <c r="B1996" t="s">
        <v>96</v>
      </c>
      <c r="C1996">
        <v>-0.85</v>
      </c>
      <c r="D1996">
        <v>-1.2561528119880574</v>
      </c>
      <c r="E1996">
        <v>0.12131430332037547</v>
      </c>
      <c r="F1996">
        <v>41.827265376437573</v>
      </c>
    </row>
    <row r="1997" spans="1:6" x14ac:dyDescent="0.3">
      <c r="A1997">
        <v>0.01</v>
      </c>
      <c r="B1997" t="s">
        <v>96</v>
      </c>
      <c r="C1997">
        <v>-0.84</v>
      </c>
      <c r="D1997">
        <v>-1.2211735176846021</v>
      </c>
      <c r="E1997">
        <v>0.12117199340687045</v>
      </c>
      <c r="F1997">
        <v>42.886834257914074</v>
      </c>
    </row>
    <row r="1998" spans="1:6" x14ac:dyDescent="0.3">
      <c r="A1998">
        <v>0.01</v>
      </c>
      <c r="B1998" t="s">
        <v>96</v>
      </c>
      <c r="C1998">
        <v>-0.83</v>
      </c>
      <c r="D1998">
        <v>-1.1881364043926024</v>
      </c>
      <c r="E1998">
        <v>0.12103074366097458</v>
      </c>
      <c r="F1998">
        <v>43.942142409210582</v>
      </c>
    </row>
    <row r="1999" spans="1:6" x14ac:dyDescent="0.3">
      <c r="A1999">
        <v>0.01</v>
      </c>
      <c r="B1999" t="s">
        <v>96</v>
      </c>
      <c r="C1999">
        <v>-0.82</v>
      </c>
      <c r="D1999">
        <v>-1.1568174645903151</v>
      </c>
      <c r="E1999">
        <v>0.12089025797380726</v>
      </c>
      <c r="F1999">
        <v>44.99551037267031</v>
      </c>
    </row>
    <row r="2000" spans="1:6" x14ac:dyDescent="0.3">
      <c r="A2000">
        <v>0.01</v>
      </c>
      <c r="B2000" t="s">
        <v>96</v>
      </c>
      <c r="C2000">
        <v>-0.81</v>
      </c>
      <c r="D2000">
        <v>-1.1270290260496929</v>
      </c>
      <c r="E2000">
        <v>0.12075023548560472</v>
      </c>
      <c r="F2000">
        <v>46.049022240703813</v>
      </c>
    </row>
    <row r="2001" spans="1:6" x14ac:dyDescent="0.3">
      <c r="A2001">
        <v>0.01</v>
      </c>
      <c r="B2001" t="s">
        <v>96</v>
      </c>
      <c r="C2001">
        <v>-0.8</v>
      </c>
      <c r="D2001">
        <v>-1.0986122886681098</v>
      </c>
      <c r="E2001">
        <v>0.12061042831559973</v>
      </c>
      <c r="F2001">
        <v>47.104556933122289</v>
      </c>
    </row>
    <row r="2002" spans="1:6" x14ac:dyDescent="0.3">
      <c r="A2002">
        <v>0.01</v>
      </c>
      <c r="B2002" t="s">
        <v>96</v>
      </c>
      <c r="C2002">
        <v>-0.79</v>
      </c>
      <c r="D2002">
        <v>-1.0714316840586662</v>
      </c>
      <c r="E2002">
        <v>0.12047062241529623</v>
      </c>
      <c r="F2002">
        <v>48.163833876233099</v>
      </c>
    </row>
    <row r="2003" spans="1:6" x14ac:dyDescent="0.3">
      <c r="A2003">
        <v>0.01</v>
      </c>
      <c r="B2003" t="s">
        <v>96</v>
      </c>
      <c r="C2003">
        <v>-0.78</v>
      </c>
      <c r="D2003">
        <v>-1.0453705484668847</v>
      </c>
      <c r="E2003">
        <v>0.12033060019975968</v>
      </c>
      <c r="F2003">
        <v>49.228458280863101</v>
      </c>
    </row>
    <row r="2004" spans="1:6" x14ac:dyDescent="0.3">
      <c r="A2004">
        <v>0.01</v>
      </c>
      <c r="B2004" t="s">
        <v>96</v>
      </c>
      <c r="C2004">
        <v>-0.77</v>
      </c>
      <c r="D2004">
        <v>-1.0203277583223398</v>
      </c>
      <c r="E2004">
        <v>0.12019014588751915</v>
      </c>
      <c r="F2004">
        <v>50.299944960624615</v>
      </c>
    </row>
    <row r="2005" spans="1:6" x14ac:dyDescent="0.3">
      <c r="A2005">
        <v>0.01</v>
      </c>
      <c r="B2005" t="s">
        <v>96</v>
      </c>
      <c r="C2005">
        <v>-0.76</v>
      </c>
      <c r="D2005">
        <v>-0.99621508234510314</v>
      </c>
      <c r="E2005">
        <v>0.12004912952292235</v>
      </c>
      <c r="F2005">
        <v>51.379704610947464</v>
      </c>
    </row>
    <row r="2006" spans="1:6" x14ac:dyDescent="0.3">
      <c r="A2006">
        <v>0.01</v>
      </c>
      <c r="B2006" t="s">
        <v>96</v>
      </c>
      <c r="C2006">
        <v>-0.75</v>
      </c>
      <c r="D2006">
        <v>-0.97295507452765673</v>
      </c>
      <c r="E2006">
        <v>0.11990733883380944</v>
      </c>
      <c r="F2006">
        <v>52.46912798983805</v>
      </c>
    </row>
    <row r="2007" spans="1:6" x14ac:dyDescent="0.3">
      <c r="A2007">
        <v>0.01</v>
      </c>
      <c r="B2007" t="s">
        <v>96</v>
      </c>
      <c r="C2007">
        <v>-0.74</v>
      </c>
      <c r="D2007">
        <v>-0.95047938059652348</v>
      </c>
      <c r="E2007">
        <v>0.1197646306973434</v>
      </c>
      <c r="F2007">
        <v>53.569539079836026</v>
      </c>
    </row>
    <row r="2008" spans="1:6" x14ac:dyDescent="0.3">
      <c r="A2008">
        <v>0.01</v>
      </c>
      <c r="B2008" t="s">
        <v>96</v>
      </c>
      <c r="C2008">
        <v>-0.73</v>
      </c>
      <c r="D2008">
        <v>-0.92872736424672497</v>
      </c>
      <c r="E2008">
        <v>0.11962083177227006</v>
      </c>
      <c r="F2008">
        <v>54.682248051709507</v>
      </c>
    </row>
    <row r="2009" spans="1:6" x14ac:dyDescent="0.3">
      <c r="A2009">
        <v>0.01</v>
      </c>
      <c r="B2009" t="s">
        <v>96</v>
      </c>
      <c r="C2009">
        <v>-0.72</v>
      </c>
      <c r="D2009">
        <v>-0.90764498331912458</v>
      </c>
      <c r="E2009">
        <v>0.11947581783325271</v>
      </c>
      <c r="F2009">
        <v>55.808527675844637</v>
      </c>
    </row>
    <row r="2010" spans="1:6" x14ac:dyDescent="0.3">
      <c r="A2010">
        <v>0.01</v>
      </c>
      <c r="B2010" t="s">
        <v>96</v>
      </c>
      <c r="C2010">
        <v>-0.71</v>
      </c>
      <c r="D2010">
        <v>-0.88718386325809284</v>
      </c>
      <c r="E2010">
        <v>0.11932942855654706</v>
      </c>
      <c r="F2010">
        <v>56.949659758784264</v>
      </c>
    </row>
    <row r="2011" spans="1:6" x14ac:dyDescent="0.3">
      <c r="A2011">
        <v>0.01</v>
      </c>
      <c r="B2011" t="s">
        <v>96</v>
      </c>
      <c r="C2011">
        <v>-0.7</v>
      </c>
      <c r="D2011">
        <v>-0.86730052769405308</v>
      </c>
      <c r="E2011">
        <v>0.11918152173279305</v>
      </c>
      <c r="F2011">
        <v>58.106919866474165</v>
      </c>
    </row>
    <row r="2012" spans="1:6" x14ac:dyDescent="0.3">
      <c r="A2012">
        <v>0.01</v>
      </c>
      <c r="B2012" t="s">
        <v>96</v>
      </c>
      <c r="C2012">
        <v>-0.69</v>
      </c>
      <c r="D2012">
        <v>-0.84795575521896349</v>
      </c>
      <c r="E2012">
        <v>0.11903195425418148</v>
      </c>
      <c r="F2012">
        <v>59.281593359982445</v>
      </c>
    </row>
    <row r="2013" spans="1:6" x14ac:dyDescent="0.3">
      <c r="A2013">
        <v>0.01</v>
      </c>
      <c r="B2013" t="s">
        <v>96</v>
      </c>
      <c r="C2013">
        <v>-0.68</v>
      </c>
      <c r="D2013">
        <v>-0.82911403830176633</v>
      </c>
      <c r="E2013">
        <v>0.11888056333491695</v>
      </c>
      <c r="F2013">
        <v>60.47499196022531</v>
      </c>
    </row>
    <row r="2014" spans="1:6" x14ac:dyDescent="0.3">
      <c r="A2014">
        <v>0.01</v>
      </c>
      <c r="B2014" t="s">
        <v>96</v>
      </c>
      <c r="C2014">
        <v>-0.67</v>
      </c>
      <c r="D2014">
        <v>-0.81074312547513749</v>
      </c>
      <c r="E2014">
        <v>0.11872722744310578</v>
      </c>
      <c r="F2014">
        <v>61.688430807464108</v>
      </c>
    </row>
    <row r="2015" spans="1:6" x14ac:dyDescent="0.3">
      <c r="A2015">
        <v>0.01</v>
      </c>
      <c r="B2015" t="s">
        <v>96</v>
      </c>
      <c r="C2015">
        <v>-0.66</v>
      </c>
      <c r="D2015">
        <v>-0.79281363187019105</v>
      </c>
      <c r="E2015">
        <v>0.11857179562978803</v>
      </c>
      <c r="F2015">
        <v>62.923269293133096</v>
      </c>
    </row>
    <row r="2016" spans="1:6" x14ac:dyDescent="0.3">
      <c r="A2016">
        <v>0.01</v>
      </c>
      <c r="B2016" t="s">
        <v>96</v>
      </c>
      <c r="C2016">
        <v>-0.65</v>
      </c>
      <c r="D2016">
        <v>-0.7752987062055835</v>
      </c>
      <c r="E2016">
        <v>0.1184141148403956</v>
      </c>
      <c r="F2016">
        <v>64.180904648043665</v>
      </c>
    </row>
    <row r="2017" spans="1:6" x14ac:dyDescent="0.3">
      <c r="A2017">
        <v>0.01</v>
      </c>
      <c r="B2017" t="s">
        <v>96</v>
      </c>
      <c r="C2017">
        <v>-0.64</v>
      </c>
      <c r="D2017">
        <v>-0.7581737446840443</v>
      </c>
      <c r="E2017">
        <v>0.11825403892099003</v>
      </c>
      <c r="F2017">
        <v>65.462773533676469</v>
      </c>
    </row>
    <row r="2018" spans="1:6" x14ac:dyDescent="0.3">
      <c r="A2018">
        <v>0.01</v>
      </c>
      <c r="B2018" t="s">
        <v>96</v>
      </c>
      <c r="C2018">
        <v>-0.63</v>
      </c>
      <c r="D2018">
        <v>-0.74141614408126888</v>
      </c>
      <c r="E2018">
        <v>0.11809143628328411</v>
      </c>
      <c r="F2018">
        <v>66.770353752354836</v>
      </c>
    </row>
    <row r="2019" spans="1:6" x14ac:dyDescent="0.3">
      <c r="A2019">
        <v>0.01</v>
      </c>
      <c r="B2019" t="s">
        <v>96</v>
      </c>
      <c r="C2019">
        <v>-0.62</v>
      </c>
      <c r="D2019">
        <v>-0.72500508775299921</v>
      </c>
      <c r="E2019">
        <v>0.1179261237402454</v>
      </c>
      <c r="F2019">
        <v>68.105207248396994</v>
      </c>
    </row>
    <row r="2020" spans="1:6" x14ac:dyDescent="0.3">
      <c r="A2020">
        <v>0.01</v>
      </c>
      <c r="B2020" t="s">
        <v>96</v>
      </c>
      <c r="C2020">
        <v>-0.61</v>
      </c>
      <c r="D2020">
        <v>-0.7089213594274083</v>
      </c>
      <c r="E2020">
        <v>0.11775793537586415</v>
      </c>
      <c r="F2020">
        <v>69.468950138168623</v>
      </c>
    </row>
    <row r="2021" spans="1:6" x14ac:dyDescent="0.3">
      <c r="A2021">
        <v>0.01</v>
      </c>
      <c r="B2021" t="s">
        <v>96</v>
      </c>
      <c r="C2021">
        <v>-0.6</v>
      </c>
      <c r="D2021">
        <v>-0.69314718055994529</v>
      </c>
      <c r="E2021">
        <v>0.11758674246382245</v>
      </c>
      <c r="F2021">
        <v>70.863246798769211</v>
      </c>
    </row>
    <row r="2022" spans="1:6" x14ac:dyDescent="0.3">
      <c r="A2022">
        <v>0.01</v>
      </c>
      <c r="B2022" t="s">
        <v>96</v>
      </c>
      <c r="C2022">
        <v>-0.59</v>
      </c>
      <c r="D2022">
        <v>-0.67766606775796179</v>
      </c>
      <c r="E2022">
        <v>0.11741233293669394</v>
      </c>
      <c r="F2022">
        <v>72.289887617800503</v>
      </c>
    </row>
    <row r="2023" spans="1:6" x14ac:dyDescent="0.3">
      <c r="A2023">
        <v>0.01</v>
      </c>
      <c r="B2023" t="s">
        <v>96</v>
      </c>
      <c r="C2023">
        <v>-0.57999999999999996</v>
      </c>
      <c r="D2023">
        <v>-0.66246270737179924</v>
      </c>
      <c r="E2023">
        <v>0.11723454764081263</v>
      </c>
      <c r="F2023">
        <v>73.750717946908821</v>
      </c>
    </row>
    <row r="2024" spans="1:6" x14ac:dyDescent="0.3">
      <c r="A2024">
        <v>0.01</v>
      </c>
      <c r="B2024" t="s">
        <v>96</v>
      </c>
      <c r="C2024">
        <v>-0.56999999999999995</v>
      </c>
      <c r="D2024">
        <v>-0.64752284482737277</v>
      </c>
      <c r="E2024">
        <v>0.11705320276687202</v>
      </c>
      <c r="F2024">
        <v>75.247691822481414</v>
      </c>
    </row>
    <row r="2025" spans="1:6" x14ac:dyDescent="0.3">
      <c r="A2025">
        <v>0.01</v>
      </c>
      <c r="B2025" t="s">
        <v>96</v>
      </c>
      <c r="C2025">
        <v>-0.56000000000000005</v>
      </c>
      <c r="D2025">
        <v>-0.63283318666563804</v>
      </c>
      <c r="E2025">
        <v>0.11686809888921297</v>
      </c>
      <c r="F2025">
        <v>76.782876626784628</v>
      </c>
    </row>
    <row r="2026" spans="1:6" x14ac:dyDescent="0.3">
      <c r="A2026">
        <v>0.01</v>
      </c>
      <c r="B2026" t="s">
        <v>96</v>
      </c>
      <c r="C2026">
        <v>-0.55000000000000004</v>
      </c>
      <c r="D2026">
        <v>-0.61838131357446346</v>
      </c>
      <c r="E2026">
        <v>0.11667902943576908</v>
      </c>
      <c r="F2026">
        <v>78.358458119244744</v>
      </c>
    </row>
    <row r="2027" spans="1:6" x14ac:dyDescent="0.3">
      <c r="A2027">
        <v>0.01</v>
      </c>
      <c r="B2027" t="s">
        <v>96</v>
      </c>
      <c r="C2027">
        <v>-0.54</v>
      </c>
      <c r="D2027">
        <v>-0.60415560296226711</v>
      </c>
      <c r="E2027">
        <v>0.11648580141413563</v>
      </c>
      <c r="F2027">
        <v>79.97673722587416</v>
      </c>
    </row>
    <row r="2028" spans="1:6" x14ac:dyDescent="0.3">
      <c r="A2028">
        <v>0.01</v>
      </c>
      <c r="B2028" t="s">
        <v>96</v>
      </c>
      <c r="C2028">
        <v>-0.53</v>
      </c>
      <c r="D2028">
        <v>-0.59014515984118854</v>
      </c>
      <c r="E2028">
        <v>0.1162881667136874</v>
      </c>
      <c r="F2028">
        <v>81.640187866386697</v>
      </c>
    </row>
    <row r="2029" spans="1:6" x14ac:dyDescent="0.3">
      <c r="A2029">
        <v>0.01</v>
      </c>
      <c r="B2029" t="s">
        <v>96</v>
      </c>
      <c r="C2029">
        <v>-0.52</v>
      </c>
      <c r="D2029">
        <v>-0.57633975496919276</v>
      </c>
      <c r="E2029">
        <v>0.11608590846151962</v>
      </c>
      <c r="F2029">
        <v>83.351412221757471</v>
      </c>
    </row>
    <row r="2030" spans="1:6" x14ac:dyDescent="0.3">
      <c r="A2030">
        <v>0.01</v>
      </c>
      <c r="B2030" t="s">
        <v>96</v>
      </c>
      <c r="C2030">
        <v>-0.51</v>
      </c>
      <c r="D2030">
        <v>-0.56272976935214891</v>
      </c>
      <c r="E2030">
        <v>0.11587876188994597</v>
      </c>
      <c r="F2030">
        <v>85.113209217604464</v>
      </c>
    </row>
    <row r="2031" spans="1:6" x14ac:dyDescent="0.3">
      <c r="A2031">
        <v>0.01</v>
      </c>
      <c r="B2031" t="s">
        <v>96</v>
      </c>
      <c r="C2031">
        <v>-0.5</v>
      </c>
      <c r="D2031">
        <v>-0.54930614433405489</v>
      </c>
      <c r="E2031">
        <v>0.11566648652096538</v>
      </c>
      <c r="F2031">
        <v>86.928539559579775</v>
      </c>
    </row>
    <row r="2032" spans="1:6" x14ac:dyDescent="0.3">
      <c r="A2032">
        <v>0.01</v>
      </c>
      <c r="B2032" t="s">
        <v>96</v>
      </c>
      <c r="C2032">
        <v>-0.49</v>
      </c>
      <c r="D2032">
        <v>-0.53606033661056662</v>
      </c>
      <c r="E2032">
        <v>0.11544879121074852</v>
      </c>
      <c r="F2032">
        <v>88.800597160465301</v>
      </c>
    </row>
    <row r="2033" spans="1:6" x14ac:dyDescent="0.3">
      <c r="A2033">
        <v>0.01</v>
      </c>
      <c r="B2033" t="s">
        <v>96</v>
      </c>
      <c r="C2033">
        <v>-0.48</v>
      </c>
      <c r="D2033">
        <v>-0.5229842775913438</v>
      </c>
      <c r="E2033">
        <v>0.11522538251890828</v>
      </c>
      <c r="F2033">
        <v>90.732793944122093</v>
      </c>
    </row>
    <row r="2034" spans="1:6" x14ac:dyDescent="0.3">
      <c r="A2034">
        <v>0.01</v>
      </c>
      <c r="B2034" t="s">
        <v>96</v>
      </c>
      <c r="C2034">
        <v>-0.47</v>
      </c>
      <c r="D2034">
        <v>-0.51007033661330725</v>
      </c>
      <c r="E2034">
        <v>0.11499595246751398</v>
      </c>
      <c r="F2034">
        <v>92.728789993221667</v>
      </c>
    </row>
    <row r="2035" spans="1:6" x14ac:dyDescent="0.3">
      <c r="A2035">
        <v>0.01</v>
      </c>
      <c r="B2035" t="s">
        <v>96</v>
      </c>
      <c r="C2035">
        <v>-0.46</v>
      </c>
      <c r="D2035">
        <v>-0.49731128757203097</v>
      </c>
      <c r="E2035">
        <v>0.11476017945954783</v>
      </c>
      <c r="F2035">
        <v>94.792516544736671</v>
      </c>
    </row>
    <row r="2036" spans="1:6" x14ac:dyDescent="0.3">
      <c r="A2036">
        <v>0.01</v>
      </c>
      <c r="B2036" t="s">
        <v>96</v>
      </c>
      <c r="C2036">
        <v>-0.45</v>
      </c>
      <c r="D2036">
        <v>-0.48470027859405168</v>
      </c>
      <c r="E2036">
        <v>0.11451769712763971</v>
      </c>
      <c r="F2036">
        <v>96.928228566601987</v>
      </c>
    </row>
    <row r="2037" spans="1:6" x14ac:dyDescent="0.3">
      <c r="A2037">
        <v>0.01</v>
      </c>
      <c r="B2037" t="s">
        <v>96</v>
      </c>
      <c r="C2037">
        <v>-0.44</v>
      </c>
      <c r="D2037">
        <v>-0.47223080442042559</v>
      </c>
      <c r="E2037">
        <v>0.11426814280026479</v>
      </c>
      <c r="F2037">
        <v>99.140495451673473</v>
      </c>
    </row>
    <row r="2038" spans="1:6" x14ac:dyDescent="0.3">
      <c r="A2038">
        <v>0.01</v>
      </c>
      <c r="B2038" t="s">
        <v>96</v>
      </c>
      <c r="C2038">
        <v>-0.43</v>
      </c>
      <c r="D2038">
        <v>-0.45989668121267852</v>
      </c>
      <c r="E2038">
        <v>0.11401110692842996</v>
      </c>
      <c r="F2038">
        <v>101.4342769242715</v>
      </c>
    </row>
    <row r="2039" spans="1:6" x14ac:dyDescent="0.3">
      <c r="A2039">
        <v>0.01</v>
      </c>
      <c r="B2039" t="s">
        <v>96</v>
      </c>
      <c r="C2039">
        <v>-0.42</v>
      </c>
      <c r="D2039">
        <v>-0.4476920235274206</v>
      </c>
      <c r="E2039">
        <v>0.1137461617118125</v>
      </c>
      <c r="F2039">
        <v>103.81493753761357</v>
      </c>
    </row>
    <row r="2040" spans="1:6" x14ac:dyDescent="0.3">
      <c r="A2040">
        <v>0.01</v>
      </c>
      <c r="B2040" t="s">
        <v>96</v>
      </c>
      <c r="C2040">
        <v>-0.41</v>
      </c>
      <c r="D2040">
        <v>-0.43561122323622431</v>
      </c>
      <c r="E2040">
        <v>0.11347284734071701</v>
      </c>
      <c r="F2040">
        <v>106.28830162096025</v>
      </c>
    </row>
    <row r="2041" spans="1:6" x14ac:dyDescent="0.3">
      <c r="A2041">
        <v>0.01</v>
      </c>
      <c r="B2041" t="s">
        <v>96</v>
      </c>
      <c r="C2041">
        <v>-0.4</v>
      </c>
      <c r="D2041">
        <v>-0.42364893019360178</v>
      </c>
      <c r="E2041">
        <v>0.11319066115070886</v>
      </c>
      <c r="F2041">
        <v>108.86071281551612</v>
      </c>
    </row>
    <row r="2042" spans="1:6" x14ac:dyDescent="0.3">
      <c r="A2042">
        <v>0.01</v>
      </c>
      <c r="B2042" t="s">
        <v>96</v>
      </c>
      <c r="C2042">
        <v>-0.39</v>
      </c>
      <c r="D2042">
        <v>-0.41180003447869035</v>
      </c>
      <c r="E2042">
        <v>0.11289907432156701</v>
      </c>
      <c r="F2042">
        <v>111.53907434896259</v>
      </c>
    </row>
    <row r="2043" spans="1:6" x14ac:dyDescent="0.3">
      <c r="A2043">
        <v>0.01</v>
      </c>
      <c r="B2043" t="s">
        <v>96</v>
      </c>
      <c r="C2043">
        <v>-0.38</v>
      </c>
      <c r="D2043">
        <v>-0.40005965005605654</v>
      </c>
      <c r="E2043">
        <v>0.11259754389319529</v>
      </c>
      <c r="F2043">
        <v>114.33089868050214</v>
      </c>
    </row>
    <row r="2044" spans="1:6" x14ac:dyDescent="0.3">
      <c r="A2044">
        <v>0.01</v>
      </c>
      <c r="B2044" t="s">
        <v>96</v>
      </c>
      <c r="C2044">
        <v>-0.37</v>
      </c>
      <c r="D2044">
        <v>-0.38842309971829614</v>
      </c>
      <c r="E2044">
        <v>0.112285411143678</v>
      </c>
      <c r="F2044">
        <v>117.2444827065552</v>
      </c>
    </row>
    <row r="2045" spans="1:6" x14ac:dyDescent="0.3">
      <c r="A2045">
        <v>0.01</v>
      </c>
      <c r="B2045" t="s">
        <v>96</v>
      </c>
      <c r="C2045">
        <v>-0.36</v>
      </c>
      <c r="D2045">
        <v>-0.37688590118819004</v>
      </c>
      <c r="E2045">
        <v>0.11196201896380187</v>
      </c>
      <c r="F2045">
        <v>120.28887456548415</v>
      </c>
    </row>
    <row r="2046" spans="1:6" x14ac:dyDescent="0.3">
      <c r="A2046">
        <v>0.01</v>
      </c>
      <c r="B2046" t="s">
        <v>96</v>
      </c>
      <c r="C2046">
        <v>-0.35</v>
      </c>
      <c r="D2046">
        <v>-0.36544375427139619</v>
      </c>
      <c r="E2046">
        <v>0.11162664953146491</v>
      </c>
      <c r="F2046">
        <v>123.47403095283548</v>
      </c>
    </row>
    <row r="2047" spans="1:6" x14ac:dyDescent="0.3">
      <c r="A2047">
        <v>0.01</v>
      </c>
      <c r="B2047" t="s">
        <v>96</v>
      </c>
      <c r="C2047">
        <v>-0.34</v>
      </c>
      <c r="D2047">
        <v>-0.35409252896224297</v>
      </c>
      <c r="E2047">
        <v>0.11127850292478102</v>
      </c>
      <c r="F2047">
        <v>126.81095308564251</v>
      </c>
    </row>
    <row r="2048" spans="1:6" x14ac:dyDescent="0.3">
      <c r="A2048">
        <v>0.01</v>
      </c>
      <c r="B2048" t="s">
        <v>96</v>
      </c>
      <c r="C2048">
        <v>-0.33</v>
      </c>
      <c r="D2048">
        <v>-0.34282825441539394</v>
      </c>
      <c r="E2048">
        <v>0.11091675217895983</v>
      </c>
      <c r="F2048">
        <v>130.31175321848386</v>
      </c>
    </row>
    <row r="2049" spans="1:6" x14ac:dyDescent="0.3">
      <c r="A2049">
        <v>0.01</v>
      </c>
      <c r="B2049" t="s">
        <v>96</v>
      </c>
      <c r="C2049">
        <v>-0.32</v>
      </c>
      <c r="D2049">
        <v>-0.3316471087051322</v>
      </c>
      <c r="E2049">
        <v>0.11054043958004303</v>
      </c>
      <c r="F2049">
        <v>133.98992343642013</v>
      </c>
    </row>
    <row r="2050" spans="1:6" x14ac:dyDescent="0.3">
      <c r="A2050">
        <v>0.01</v>
      </c>
      <c r="B2050" t="s">
        <v>96</v>
      </c>
      <c r="C2050">
        <v>-0.31</v>
      </c>
      <c r="D2050">
        <v>-0.32054540930194608</v>
      </c>
      <c r="E2050">
        <v>0.11014855886776924</v>
      </c>
      <c r="F2050">
        <v>137.86041653822824</v>
      </c>
    </row>
    <row r="2051" spans="1:6" x14ac:dyDescent="0.3">
      <c r="A2051">
        <v>0.01</v>
      </c>
      <c r="B2051" t="s">
        <v>96</v>
      </c>
      <c r="C2051">
        <v>-0.3</v>
      </c>
      <c r="D2051">
        <v>-0.30951960420311175</v>
      </c>
      <c r="E2051">
        <v>0.10973999927506868</v>
      </c>
      <c r="F2051">
        <v>141.9399169793721</v>
      </c>
    </row>
    <row r="2052" spans="1:6" x14ac:dyDescent="0.3">
      <c r="A2052">
        <v>0.01</v>
      </c>
      <c r="B2052" t="s">
        <v>96</v>
      </c>
      <c r="C2052">
        <v>-0.28999999999999998</v>
      </c>
      <c r="D2052">
        <v>-0.29856626366017835</v>
      </c>
      <c r="E2052">
        <v>0.10931353368615762</v>
      </c>
      <c r="F2052">
        <v>146.24710050074526</v>
      </c>
    </row>
    <row r="2053" spans="1:6" x14ac:dyDescent="0.3">
      <c r="A2053">
        <v>0.01</v>
      </c>
      <c r="B2053" t="s">
        <v>96</v>
      </c>
      <c r="C2053">
        <v>-0.28000000000000003</v>
      </c>
      <c r="D2053">
        <v>-0.2876820724517809</v>
      </c>
      <c r="E2053">
        <v>0.10886781407422222</v>
      </c>
      <c r="F2053">
        <v>150.80292920085921</v>
      </c>
    </row>
    <row r="2054" spans="1:6" x14ac:dyDescent="0.3">
      <c r="A2054">
        <v>0.01</v>
      </c>
      <c r="B2054" t="s">
        <v>96</v>
      </c>
      <c r="C2054">
        <v>-0.27</v>
      </c>
      <c r="D2054">
        <v>-0.27686382265510007</v>
      </c>
      <c r="E2054">
        <v>0.10840135841202532</v>
      </c>
      <c r="F2054">
        <v>155.63101215832765</v>
      </c>
    </row>
    <row r="2055" spans="1:6" x14ac:dyDescent="0.3">
      <c r="A2055">
        <v>0.01</v>
      </c>
      <c r="B2055" t="s">
        <v>96</v>
      </c>
      <c r="C2055">
        <v>-0.26</v>
      </c>
      <c r="D2055">
        <v>-0.26610840687365411</v>
      </c>
      <c r="E2055">
        <v>0.10791251582930035</v>
      </c>
      <c r="F2055">
        <v>160.75806672339755</v>
      </c>
    </row>
    <row r="2056" spans="1:6" x14ac:dyDescent="0.3">
      <c r="A2056">
        <v>0.01</v>
      </c>
      <c r="B2056" t="s">
        <v>96</v>
      </c>
      <c r="C2056">
        <v>-0.25</v>
      </c>
      <c r="D2056">
        <v>-0.25541281188299536</v>
      </c>
      <c r="E2056">
        <v>0.10739948988290984</v>
      </c>
      <c r="F2056">
        <v>166.21437856823258</v>
      </c>
    </row>
    <row r="2057" spans="1:6" x14ac:dyDescent="0.3">
      <c r="A2057">
        <v>0.01</v>
      </c>
      <c r="B2057" t="s">
        <v>96</v>
      </c>
      <c r="C2057">
        <v>-0.24</v>
      </c>
      <c r="D2057">
        <v>-0.24477411265935289</v>
      </c>
      <c r="E2057">
        <v>0.10686022102543184</v>
      </c>
      <c r="F2057">
        <v>172.03458350058477</v>
      </c>
    </row>
    <row r="2058" spans="1:6" x14ac:dyDescent="0.3">
      <c r="A2058">
        <v>0.01</v>
      </c>
      <c r="B2058" t="s">
        <v>96</v>
      </c>
      <c r="C2058">
        <v>-0.23</v>
      </c>
      <c r="D2058">
        <v>-0.23418946675936678</v>
      </c>
      <c r="E2058">
        <v>0.10629246855354653</v>
      </c>
      <c r="F2058">
        <v>178.2582764853276</v>
      </c>
    </row>
    <row r="2059" spans="1:6" x14ac:dyDescent="0.3">
      <c r="A2059">
        <v>0.01</v>
      </c>
      <c r="B2059" t="s">
        <v>96</v>
      </c>
      <c r="C2059">
        <v>-0.22</v>
      </c>
      <c r="D2059">
        <v>-0.22365610902183239</v>
      </c>
      <c r="E2059">
        <v>0.10569368331911012</v>
      </c>
      <c r="F2059">
        <v>184.93112024764758</v>
      </c>
    </row>
    <row r="2060" spans="1:6" x14ac:dyDescent="0.3">
      <c r="A2060">
        <v>0.01</v>
      </c>
      <c r="B2060" t="s">
        <v>96</v>
      </c>
      <c r="C2060">
        <v>-0.21</v>
      </c>
      <c r="D2060">
        <v>-0.21317134656485975</v>
      </c>
      <c r="E2060">
        <v>0.10506100854659341</v>
      </c>
      <c r="F2060">
        <v>192.10597151291614</v>
      </c>
    </row>
    <row r="2061" spans="1:6" x14ac:dyDescent="0.3">
      <c r="A2061">
        <v>0.01</v>
      </c>
      <c r="B2061" t="s">
        <v>96</v>
      </c>
      <c r="C2061">
        <v>-0.2</v>
      </c>
      <c r="D2061">
        <v>-0.20273255405408214</v>
      </c>
      <c r="E2061">
        <v>0.10439120383425154</v>
      </c>
      <c r="F2061">
        <v>199.84442075516804</v>
      </c>
    </row>
    <row r="2062" spans="1:6" x14ac:dyDescent="0.3">
      <c r="A2062">
        <v>0.01</v>
      </c>
      <c r="B2062" t="s">
        <v>96</v>
      </c>
      <c r="C2062">
        <v>-0.19</v>
      </c>
      <c r="D2062">
        <v>-0.1923371692195453</v>
      </c>
      <c r="E2062">
        <v>0.10368061319380875</v>
      </c>
      <c r="F2062">
        <v>208.21862257826791</v>
      </c>
    </row>
    <row r="2063" spans="1:6" x14ac:dyDescent="0.3">
      <c r="A2063">
        <v>0.01</v>
      </c>
      <c r="B2063" t="s">
        <v>96</v>
      </c>
      <c r="C2063">
        <v>-0.18</v>
      </c>
      <c r="D2063">
        <v>-0.18198268860070579</v>
      </c>
      <c r="E2063">
        <v>0.10292505859884972</v>
      </c>
      <c r="F2063">
        <v>217.31375825627367</v>
      </c>
    </row>
    <row r="2064" spans="1:6" x14ac:dyDescent="0.3">
      <c r="A2064">
        <v>0.01</v>
      </c>
      <c r="B2064" t="s">
        <v>96</v>
      </c>
      <c r="C2064">
        <v>-0.17</v>
      </c>
      <c r="D2064">
        <v>-0.17166666350057908</v>
      </c>
      <c r="E2064">
        <v>0.10211971394582908</v>
      </c>
      <c r="F2064">
        <v>227.23121496512925</v>
      </c>
    </row>
    <row r="2065" spans="1:6" x14ac:dyDescent="0.3">
      <c r="A2065">
        <v>0.01</v>
      </c>
      <c r="B2065" t="s">
        <v>96</v>
      </c>
      <c r="C2065">
        <v>-0.16</v>
      </c>
      <c r="D2065">
        <v>-0.16138669613152551</v>
      </c>
      <c r="E2065">
        <v>0.10125906826419215</v>
      </c>
      <c r="F2065">
        <v>238.09245701565456</v>
      </c>
    </row>
    <row r="2066" spans="1:6" x14ac:dyDescent="0.3">
      <c r="A2066">
        <v>0.01</v>
      </c>
      <c r="B2066" t="s">
        <v>96</v>
      </c>
      <c r="C2066">
        <v>-0.15</v>
      </c>
      <c r="D2066">
        <v>-0.15114043593646675</v>
      </c>
      <c r="E2066">
        <v>0.100336671793083</v>
      </c>
      <c r="F2066">
        <v>250.04461564531047</v>
      </c>
    </row>
    <row r="2067" spans="1:6" x14ac:dyDescent="0.3">
      <c r="A2067">
        <v>0.01</v>
      </c>
      <c r="B2067" t="s">
        <v>96</v>
      </c>
      <c r="C2067">
        <v>-0.14000000000000001</v>
      </c>
      <c r="D2067">
        <v>-0.14092557607049394</v>
      </c>
      <c r="E2067">
        <v>9.934499213074327E-2</v>
      </c>
      <c r="F2067">
        <v>263.2675721445392</v>
      </c>
    </row>
    <row r="2068" spans="1:6" x14ac:dyDescent="0.3">
      <c r="A2068">
        <v>0.01</v>
      </c>
      <c r="B2068" t="s">
        <v>96</v>
      </c>
      <c r="C2068">
        <v>-0.13</v>
      </c>
      <c r="D2068">
        <v>-0.13073985002887836</v>
      </c>
      <c r="E2068">
        <v>9.8275182331355654E-2</v>
      </c>
      <c r="F2068">
        <v>277.98369182078034</v>
      </c>
    </row>
    <row r="2069" spans="1:6" x14ac:dyDescent="0.3">
      <c r="A2069">
        <v>0.01</v>
      </c>
      <c r="B2069" t="s">
        <v>96</v>
      </c>
      <c r="C2069">
        <v>-0.12</v>
      </c>
      <c r="D2069">
        <v>-0.12058102840844405</v>
      </c>
      <c r="E2069">
        <v>9.7116670680167952E-2</v>
      </c>
      <c r="F2069">
        <v>294.47164231319721</v>
      </c>
    </row>
    <row r="2070" spans="1:6" x14ac:dyDescent="0.3">
      <c r="A2070">
        <v>0.01</v>
      </c>
      <c r="B2070" t="s">
        <v>96</v>
      </c>
      <c r="C2070">
        <v>-0.11</v>
      </c>
      <c r="D2070">
        <v>-0.1104469157900972</v>
      </c>
      <c r="E2070">
        <v>9.5856766923094847E-2</v>
      </c>
      <c r="F2070">
        <v>313.08552725649145</v>
      </c>
    </row>
    <row r="2071" spans="1:6" x14ac:dyDescent="0.3">
      <c r="A2071">
        <v>0.01</v>
      </c>
      <c r="B2071" t="s">
        <v>96</v>
      </c>
      <c r="C2071">
        <v>-0.1</v>
      </c>
      <c r="D2071">
        <v>-0.10033534773107562</v>
      </c>
      <c r="E2071">
        <v>9.4480029130336027E-2</v>
      </c>
      <c r="F2071">
        <v>334.28289583426806</v>
      </c>
    </row>
    <row r="2072" spans="1:6" x14ac:dyDescent="0.3">
      <c r="A2072">
        <v>0.01</v>
      </c>
      <c r="B2072" t="s">
        <v>96</v>
      </c>
      <c r="C2072">
        <v>-0.09</v>
      </c>
      <c r="D2072">
        <v>-9.0244187856146837E-2</v>
      </c>
      <c r="E2072">
        <v>9.2967434405879359E-2</v>
      </c>
      <c r="F2072">
        <v>358.66625316474176</v>
      </c>
    </row>
    <row r="2073" spans="1:6" x14ac:dyDescent="0.3">
      <c r="A2073">
        <v>0.01</v>
      </c>
      <c r="B2073" t="s">
        <v>96</v>
      </c>
      <c r="C2073">
        <v>-0.08</v>
      </c>
      <c r="D2073">
        <v>-8.0171325037589683E-2</v>
      </c>
      <c r="E2073">
        <v>9.1295164089924871E-2</v>
      </c>
      <c r="F2073">
        <v>387.04685913508467</v>
      </c>
    </row>
    <row r="2074" spans="1:6" x14ac:dyDescent="0.3">
      <c r="A2074">
        <v>0.01</v>
      </c>
      <c r="B2074" t="s">
        <v>96</v>
      </c>
      <c r="C2074">
        <v>-7.0000000000000007E-2</v>
      </c>
      <c r="D2074">
        <v>-7.0114670654325195E-2</v>
      </c>
      <c r="E2074">
        <v>8.9432772217507964E-2</v>
      </c>
      <c r="F2074">
        <v>420.54647300297677</v>
      </c>
    </row>
    <row r="2075" spans="1:6" x14ac:dyDescent="0.3">
      <c r="A2075">
        <v>0.01</v>
      </c>
      <c r="B2075" t="s">
        <v>96</v>
      </c>
      <c r="C2075">
        <v>-0.06</v>
      </c>
      <c r="D2075">
        <v>-6.007215592103167E-2</v>
      </c>
      <c r="E2075">
        <v>8.7340569075660332E-2</v>
      </c>
      <c r="F2075">
        <v>460.76549984903534</v>
      </c>
    </row>
    <row r="2076" spans="1:6" x14ac:dyDescent="0.3">
      <c r="A2076">
        <v>0.01</v>
      </c>
      <c r="B2076" t="s">
        <v>96</v>
      </c>
      <c r="C2076">
        <v>-0.05</v>
      </c>
      <c r="D2076">
        <v>-5.0041729278491327E-2</v>
      </c>
      <c r="E2076">
        <v>8.4965118782256197E-2</v>
      </c>
      <c r="F2076">
        <v>510.0790574437957</v>
      </c>
    </row>
    <row r="2077" spans="1:6" x14ac:dyDescent="0.3">
      <c r="A2077">
        <v>0.01</v>
      </c>
      <c r="B2077" t="s">
        <v>96</v>
      </c>
      <c r="C2077">
        <v>-0.04</v>
      </c>
      <c r="D2077">
        <v>-4.0021353836768248E-2</v>
      </c>
      <c r="E2077">
        <v>8.2232012462271367E-2</v>
      </c>
      <c r="F2077">
        <v>572.18829455154219</v>
      </c>
    </row>
    <row r="2078" spans="1:6" x14ac:dyDescent="0.3">
      <c r="A2078">
        <v>0.01</v>
      </c>
      <c r="B2078" t="s">
        <v>96</v>
      </c>
      <c r="C2078">
        <v>-0.03</v>
      </c>
      <c r="D2078">
        <v>-3.000900486312652E-2</v>
      </c>
      <c r="E2078">
        <v>7.9032385781171818E-2</v>
      </c>
      <c r="F2078">
        <v>653.24327771865069</v>
      </c>
    </row>
    <row r="2079" spans="1:6" x14ac:dyDescent="0.3">
      <c r="A2079">
        <v>0.01</v>
      </c>
      <c r="B2079" t="s">
        <v>96</v>
      </c>
      <c r="C2079">
        <v>-0.02</v>
      </c>
      <c r="D2079">
        <v>-2.0002667306849624E-2</v>
      </c>
      <c r="E2079">
        <v>7.5195931556926401E-2</v>
      </c>
      <c r="F2079">
        <v>764.39829015401995</v>
      </c>
    </row>
    <row r="2080" spans="1:6" x14ac:dyDescent="0.3">
      <c r="A2080">
        <v>0.01</v>
      </c>
      <c r="B2080" t="s">
        <v>96</v>
      </c>
      <c r="C2080">
        <v>-0.01</v>
      </c>
      <c r="D2080">
        <v>-1.0000333353334771E-2</v>
      </c>
      <c r="E2080">
        <v>7.0428170874500484E-2</v>
      </c>
      <c r="F2080">
        <v>928.64655423905458</v>
      </c>
    </row>
    <row r="2081" spans="1:6" x14ac:dyDescent="0.3">
      <c r="A2081">
        <v>0.1</v>
      </c>
      <c r="B2081" t="s">
        <v>97</v>
      </c>
      <c r="C2081">
        <v>-0.99</v>
      </c>
      <c r="D2081">
        <v>-2.6466524123622457</v>
      </c>
      <c r="E2081">
        <v>7.0604695500579323E-2</v>
      </c>
      <c r="F2081">
        <v>133.73435179078649</v>
      </c>
    </row>
    <row r="2082" spans="1:6" x14ac:dyDescent="0.3">
      <c r="A2082">
        <v>0.1</v>
      </c>
      <c r="B2082" t="s">
        <v>97</v>
      </c>
      <c r="C2082">
        <v>-0.98</v>
      </c>
      <c r="D2082">
        <v>-2.2975599250672945</v>
      </c>
      <c r="E2082">
        <v>6.9365432940988375E-2</v>
      </c>
      <c r="F2082">
        <v>153.30022878256736</v>
      </c>
    </row>
    <row r="2083" spans="1:6" x14ac:dyDescent="0.3">
      <c r="A2083">
        <v>0.1</v>
      </c>
      <c r="B2083" t="s">
        <v>97</v>
      </c>
      <c r="C2083">
        <v>-0.97</v>
      </c>
      <c r="D2083">
        <v>-2.0922957200349388</v>
      </c>
      <c r="E2083">
        <v>6.8487641252568093E-2</v>
      </c>
      <c r="F2083">
        <v>167.80646758745161</v>
      </c>
    </row>
    <row r="2084" spans="1:6" x14ac:dyDescent="0.3">
      <c r="A2084">
        <v>0.1</v>
      </c>
      <c r="B2084" t="s">
        <v>97</v>
      </c>
      <c r="C2084">
        <v>-0.96</v>
      </c>
      <c r="D2084">
        <v>-1.9459101490553128</v>
      </c>
      <c r="E2084">
        <v>6.7775523920292596E-2</v>
      </c>
      <c r="F2084">
        <v>179.99111143288616</v>
      </c>
    </row>
    <row r="2085" spans="1:6" x14ac:dyDescent="0.3">
      <c r="A2085">
        <v>0.1</v>
      </c>
      <c r="B2085" t="s">
        <v>97</v>
      </c>
      <c r="C2085">
        <v>-0.95</v>
      </c>
      <c r="D2085">
        <v>-1.8317808230648227</v>
      </c>
      <c r="E2085">
        <v>6.7160987253215329E-2</v>
      </c>
      <c r="F2085">
        <v>190.81915933671183</v>
      </c>
    </row>
    <row r="2086" spans="1:6" x14ac:dyDescent="0.3">
      <c r="A2086">
        <v>0.1</v>
      </c>
      <c r="B2086" t="s">
        <v>97</v>
      </c>
      <c r="C2086">
        <v>-0.94</v>
      </c>
      <c r="D2086">
        <v>-1.7380493449176362</v>
      </c>
      <c r="E2086">
        <v>6.6611457946436581E-2</v>
      </c>
      <c r="F2086">
        <v>200.75686375593153</v>
      </c>
    </row>
    <row r="2087" spans="1:6" x14ac:dyDescent="0.3">
      <c r="A2087">
        <v>0.1</v>
      </c>
      <c r="B2087" t="s">
        <v>97</v>
      </c>
      <c r="C2087">
        <v>-0.93</v>
      </c>
      <c r="D2087">
        <v>-1.6583900199247865</v>
      </c>
      <c r="E2087">
        <v>6.6108539390856008E-2</v>
      </c>
      <c r="F2087">
        <v>210.06962092462939</v>
      </c>
    </row>
    <row r="2088" spans="1:6" x14ac:dyDescent="0.3">
      <c r="A2088">
        <v>0.1</v>
      </c>
      <c r="B2088" t="s">
        <v>97</v>
      </c>
      <c r="C2088">
        <v>-0.92</v>
      </c>
      <c r="D2088">
        <v>-1.5890269151739731</v>
      </c>
      <c r="E2088">
        <v>6.5640733697745368E-2</v>
      </c>
      <c r="F2088">
        <v>218.92493160287827</v>
      </c>
    </row>
    <row r="2089" spans="1:6" x14ac:dyDescent="0.3">
      <c r="A2089">
        <v>0.1</v>
      </c>
      <c r="B2089" t="s">
        <v>97</v>
      </c>
      <c r="C2089">
        <v>-0.91</v>
      </c>
      <c r="D2089">
        <v>-1.5275244253552054</v>
      </c>
      <c r="E2089">
        <v>6.5200319770326837E-2</v>
      </c>
      <c r="F2089">
        <v>227.43642603043983</v>
      </c>
    </row>
    <row r="2090" spans="1:6" x14ac:dyDescent="0.3">
      <c r="A2090">
        <v>0.1</v>
      </c>
      <c r="B2090" t="s">
        <v>97</v>
      </c>
      <c r="C2090">
        <v>-0.9</v>
      </c>
      <c r="D2090">
        <v>-1.4722194895832204</v>
      </c>
      <c r="E2090">
        <v>6.4781849508008207E-2</v>
      </c>
      <c r="F2090">
        <v>235.68545712897742</v>
      </c>
    </row>
    <row r="2091" spans="1:6" x14ac:dyDescent="0.3">
      <c r="A2091">
        <v>0.1</v>
      </c>
      <c r="B2091" t="s">
        <v>97</v>
      </c>
      <c r="C2091">
        <v>-0.89</v>
      </c>
      <c r="D2091">
        <v>-1.421925871130636</v>
      </c>
      <c r="E2091">
        <v>6.4381263881712614E-2</v>
      </c>
      <c r="F2091">
        <v>243.73281493690334</v>
      </c>
    </row>
    <row r="2092" spans="1:6" x14ac:dyDescent="0.3">
      <c r="A2092">
        <v>0.1</v>
      </c>
      <c r="B2092" t="s">
        <v>97</v>
      </c>
      <c r="C2092">
        <v>-0.88</v>
      </c>
      <c r="D2092">
        <v>-1.3757676565209744</v>
      </c>
      <c r="E2092">
        <v>6.3995520997312427E-2</v>
      </c>
      <c r="F2092">
        <v>251.62549072668793</v>
      </c>
    </row>
    <row r="2093" spans="1:6" x14ac:dyDescent="0.3">
      <c r="A2093">
        <v>0.1</v>
      </c>
      <c r="B2093" t="s">
        <v>97</v>
      </c>
      <c r="C2093">
        <v>-0.87</v>
      </c>
      <c r="D2093">
        <v>-1.333079629696525</v>
      </c>
      <c r="E2093">
        <v>6.3622205253790962E-2</v>
      </c>
      <c r="F2093">
        <v>259.40091798101594</v>
      </c>
    </row>
    <row r="2094" spans="1:6" x14ac:dyDescent="0.3">
      <c r="A2094">
        <v>0.1</v>
      </c>
      <c r="B2094" t="s">
        <v>97</v>
      </c>
      <c r="C2094">
        <v>-0.86</v>
      </c>
      <c r="D2094">
        <v>-1.2933446720489712</v>
      </c>
      <c r="E2094">
        <v>6.3259407760562075E-2</v>
      </c>
      <c r="F2094">
        <v>267.08965631633737</v>
      </c>
    </row>
    <row r="2095" spans="1:6" x14ac:dyDescent="0.3">
      <c r="A2095">
        <v>0.1</v>
      </c>
      <c r="B2095" t="s">
        <v>97</v>
      </c>
      <c r="C2095">
        <v>-0.85</v>
      </c>
      <c r="D2095">
        <v>-1.2561528119880574</v>
      </c>
      <c r="E2095">
        <v>6.2905558548260312E-2</v>
      </c>
      <c r="F2095">
        <v>274.71723335031965</v>
      </c>
    </row>
    <row r="2096" spans="1:6" x14ac:dyDescent="0.3">
      <c r="A2096">
        <v>0.1</v>
      </c>
      <c r="B2096" t="s">
        <v>97</v>
      </c>
      <c r="C2096">
        <v>-0.84</v>
      </c>
      <c r="D2096">
        <v>-1.2211735176846021</v>
      </c>
      <c r="E2096">
        <v>6.2559358438687707E-2</v>
      </c>
      <c r="F2096">
        <v>282.30540082266884</v>
      </c>
    </row>
    <row r="2097" spans="1:6" x14ac:dyDescent="0.3">
      <c r="A2097">
        <v>0.1</v>
      </c>
      <c r="B2097" t="s">
        <v>97</v>
      </c>
      <c r="C2097">
        <v>-0.83</v>
      </c>
      <c r="D2097">
        <v>-1.1881364043926024</v>
      </c>
      <c r="E2097">
        <v>6.2219732104557154E-2</v>
      </c>
      <c r="F2097">
        <v>289.87302848721583</v>
      </c>
    </row>
    <row r="2098" spans="1:6" x14ac:dyDescent="0.3">
      <c r="A2098">
        <v>0.1</v>
      </c>
      <c r="B2098" t="s">
        <v>97</v>
      </c>
      <c r="C2098">
        <v>-0.82</v>
      </c>
      <c r="D2098">
        <v>-1.1568174645903151</v>
      </c>
      <c r="E2098">
        <v>6.1885741712162719E-2</v>
      </c>
      <c r="F2098">
        <v>297.43678637300695</v>
      </c>
    </row>
    <row r="2099" spans="1:6" x14ac:dyDescent="0.3">
      <c r="A2099">
        <v>0.1</v>
      </c>
      <c r="B2099" t="s">
        <v>97</v>
      </c>
      <c r="C2099">
        <v>-0.81</v>
      </c>
      <c r="D2099">
        <v>-1.1270290260496929</v>
      </c>
      <c r="E2099">
        <v>6.1556592593467629E-2</v>
      </c>
      <c r="F2099">
        <v>305.01161734807539</v>
      </c>
    </row>
    <row r="2100" spans="1:6" x14ac:dyDescent="0.3">
      <c r="A2100">
        <v>0.1</v>
      </c>
      <c r="B2100" t="s">
        <v>97</v>
      </c>
      <c r="C2100">
        <v>-0.8</v>
      </c>
      <c r="D2100">
        <v>-1.0986122886681098</v>
      </c>
      <c r="E2100">
        <v>6.1231600054867823E-2</v>
      </c>
      <c r="F2100">
        <v>312.61111703090239</v>
      </c>
    </row>
    <row r="2101" spans="1:6" x14ac:dyDescent="0.3">
      <c r="A2101">
        <v>0.1</v>
      </c>
      <c r="B2101" t="s">
        <v>97</v>
      </c>
      <c r="C2101">
        <v>-0.79</v>
      </c>
      <c r="D2101">
        <v>-1.0714316840586662</v>
      </c>
      <c r="E2101">
        <v>6.0910145802573708E-2</v>
      </c>
      <c r="F2101">
        <v>320.24784128565955</v>
      </c>
    </row>
    <row r="2102" spans="1:6" x14ac:dyDescent="0.3">
      <c r="A2102">
        <v>0.1</v>
      </c>
      <c r="B2102" t="s">
        <v>97</v>
      </c>
      <c r="C2102">
        <v>-0.78</v>
      </c>
      <c r="D2102">
        <v>-1.0453705484668847</v>
      </c>
      <c r="E2102">
        <v>6.0591691865633547E-2</v>
      </c>
      <c r="F2102">
        <v>327.9335203658535</v>
      </c>
    </row>
    <row r="2103" spans="1:6" x14ac:dyDescent="0.3">
      <c r="A2103">
        <v>0.1</v>
      </c>
      <c r="B2103" t="s">
        <v>97</v>
      </c>
      <c r="C2103">
        <v>-0.77</v>
      </c>
      <c r="D2103">
        <v>-1.0203277583223398</v>
      </c>
      <c r="E2103">
        <v>6.0275747452045059E-2</v>
      </c>
      <c r="F2103">
        <v>335.67925869232488</v>
      </c>
    </row>
    <row r="2104" spans="1:6" x14ac:dyDescent="0.3">
      <c r="A2104">
        <v>0.1</v>
      </c>
      <c r="B2104" t="s">
        <v>97</v>
      </c>
      <c r="C2104">
        <v>-0.76</v>
      </c>
      <c r="D2104">
        <v>-0.99621508234510314</v>
      </c>
      <c r="E2104">
        <v>5.9961882801143798E-2</v>
      </c>
      <c r="F2104">
        <v>343.49567198023925</v>
      </c>
    </row>
    <row r="2105" spans="1:6" x14ac:dyDescent="0.3">
      <c r="A2105">
        <v>0.1</v>
      </c>
      <c r="B2105" t="s">
        <v>97</v>
      </c>
      <c r="C2105">
        <v>-0.75</v>
      </c>
      <c r="D2105">
        <v>-0.97295507452765673</v>
      </c>
      <c r="E2105">
        <v>5.9649695534790798E-2</v>
      </c>
      <c r="F2105">
        <v>351.39303193370125</v>
      </c>
    </row>
    <row r="2106" spans="1:6" x14ac:dyDescent="0.3">
      <c r="A2106">
        <v>0.1</v>
      </c>
      <c r="B2106" t="s">
        <v>97</v>
      </c>
      <c r="C2106">
        <v>-0.74</v>
      </c>
      <c r="D2106">
        <v>-0.95047938059652348</v>
      </c>
      <c r="E2106">
        <v>5.9338806394312237E-2</v>
      </c>
      <c r="F2106">
        <v>359.38137398727764</v>
      </c>
    </row>
    <row r="2107" spans="1:6" x14ac:dyDescent="0.3">
      <c r="A2107">
        <v>0.1</v>
      </c>
      <c r="B2107" t="s">
        <v>97</v>
      </c>
      <c r="C2107">
        <v>-0.73</v>
      </c>
      <c r="D2107">
        <v>-0.92872736424672497</v>
      </c>
      <c r="E2107">
        <v>5.9028908125429415E-2</v>
      </c>
      <c r="F2107">
        <v>367.47054917640259</v>
      </c>
    </row>
    <row r="2108" spans="1:6" x14ac:dyDescent="0.3">
      <c r="A2108">
        <v>0.1</v>
      </c>
      <c r="B2108" t="s">
        <v>97</v>
      </c>
      <c r="C2108">
        <v>-0.72</v>
      </c>
      <c r="D2108">
        <v>-0.90764498331912458</v>
      </c>
      <c r="E2108">
        <v>5.8719666803736657E-2</v>
      </c>
      <c r="F2108">
        <v>375.67037698726466</v>
      </c>
    </row>
    <row r="2109" spans="1:6" x14ac:dyDescent="0.3">
      <c r="A2109">
        <v>0.1</v>
      </c>
      <c r="B2109" t="s">
        <v>97</v>
      </c>
      <c r="C2109">
        <v>-0.71</v>
      </c>
      <c r="D2109">
        <v>-0.88718386325809284</v>
      </c>
      <c r="E2109">
        <v>5.8410805987987757E-2</v>
      </c>
      <c r="F2109">
        <v>383.99065153548042</v>
      </c>
    </row>
    <row r="2110" spans="1:6" x14ac:dyDescent="0.3">
      <c r="A2110">
        <v>0.1</v>
      </c>
      <c r="B2110" t="s">
        <v>97</v>
      </c>
      <c r="C2110">
        <v>-0.7</v>
      </c>
      <c r="D2110">
        <v>-0.86730052769405308</v>
      </c>
      <c r="E2110">
        <v>5.8102042947905469E-2</v>
      </c>
      <c r="F2110">
        <v>392.44125608712119</v>
      </c>
    </row>
    <row r="2111" spans="1:6" x14ac:dyDescent="0.3">
      <c r="A2111">
        <v>0.1</v>
      </c>
      <c r="B2111" t="s">
        <v>97</v>
      </c>
      <c r="C2111">
        <v>-0.69</v>
      </c>
      <c r="D2111">
        <v>-0.84795575521896349</v>
      </c>
      <c r="E2111">
        <v>5.7793117836934339E-2</v>
      </c>
      <c r="F2111">
        <v>401.03220005831156</v>
      </c>
    </row>
    <row r="2112" spans="1:6" x14ac:dyDescent="0.3">
      <c r="A2112">
        <v>0.1</v>
      </c>
      <c r="B2112" t="s">
        <v>97</v>
      </c>
      <c r="C2112">
        <v>-0.68</v>
      </c>
      <c r="D2112">
        <v>-0.82911403830176633</v>
      </c>
      <c r="E2112">
        <v>5.7483780725265804E-2</v>
      </c>
      <c r="F2112">
        <v>409.77368677554443</v>
      </c>
    </row>
    <row r="2113" spans="1:6" x14ac:dyDescent="0.3">
      <c r="A2113">
        <v>0.1</v>
      </c>
      <c r="B2113" t="s">
        <v>97</v>
      </c>
      <c r="C2113">
        <v>-0.67</v>
      </c>
      <c r="D2113">
        <v>-0.81074312547513749</v>
      </c>
      <c r="E2113">
        <v>5.7173794037290233E-2</v>
      </c>
      <c r="F2113">
        <v>418.67616662076466</v>
      </c>
    </row>
    <row r="2114" spans="1:6" x14ac:dyDescent="0.3">
      <c r="A2114">
        <v>0.1</v>
      </c>
      <c r="B2114" t="s">
        <v>97</v>
      </c>
      <c r="C2114">
        <v>-0.66</v>
      </c>
      <c r="D2114">
        <v>-0.79281363187019105</v>
      </c>
      <c r="E2114">
        <v>5.6862938368249315E-2</v>
      </c>
      <c r="F2114">
        <v>427.75038529377827</v>
      </c>
    </row>
    <row r="2115" spans="1:6" x14ac:dyDescent="0.3">
      <c r="A2115">
        <v>0.1</v>
      </c>
      <c r="B2115" t="s">
        <v>97</v>
      </c>
      <c r="C2115">
        <v>-0.65</v>
      </c>
      <c r="D2115">
        <v>-0.7752987062055835</v>
      </c>
      <c r="E2115">
        <v>5.6550984816424475E-2</v>
      </c>
      <c r="F2115">
        <v>437.00746474241799</v>
      </c>
    </row>
    <row r="2116" spans="1:6" x14ac:dyDescent="0.3">
      <c r="A2116">
        <v>0.1</v>
      </c>
      <c r="B2116" t="s">
        <v>97</v>
      </c>
      <c r="C2116">
        <v>-0.64</v>
      </c>
      <c r="D2116">
        <v>-0.7581737446840443</v>
      </c>
      <c r="E2116">
        <v>5.6237713022752503E-2</v>
      </c>
      <c r="F2116">
        <v>446.45894204774544</v>
      </c>
    </row>
    <row r="2117" spans="1:6" x14ac:dyDescent="0.3">
      <c r="A2117">
        <v>0.1</v>
      </c>
      <c r="B2117" t="s">
        <v>97</v>
      </c>
      <c r="C2117">
        <v>-0.63</v>
      </c>
      <c r="D2117">
        <v>-0.74141614408126888</v>
      </c>
      <c r="E2117">
        <v>5.5922922844464304E-2</v>
      </c>
      <c r="F2117">
        <v>456.1168131177555</v>
      </c>
    </row>
    <row r="2118" spans="1:6" x14ac:dyDescent="0.3">
      <c r="A2118">
        <v>0.1</v>
      </c>
      <c r="B2118" t="s">
        <v>97</v>
      </c>
      <c r="C2118">
        <v>-0.62</v>
      </c>
      <c r="D2118">
        <v>-0.72500508775299921</v>
      </c>
      <c r="E2118">
        <v>5.5606403867758218E-2</v>
      </c>
      <c r="F2118">
        <v>465.99362317569211</v>
      </c>
    </row>
    <row r="2119" spans="1:6" x14ac:dyDescent="0.3">
      <c r="A2119">
        <v>0.1</v>
      </c>
      <c r="B2119" t="s">
        <v>97</v>
      </c>
      <c r="C2119">
        <v>-0.61</v>
      </c>
      <c r="D2119">
        <v>-0.7089213594274083</v>
      </c>
      <c r="E2119">
        <v>5.528795191485697E-2</v>
      </c>
      <c r="F2119">
        <v>476.10251214767607</v>
      </c>
    </row>
    <row r="2120" spans="1:6" x14ac:dyDescent="0.3">
      <c r="A2120">
        <v>0.1</v>
      </c>
      <c r="B2120" t="s">
        <v>97</v>
      </c>
      <c r="C2120">
        <v>-0.6</v>
      </c>
      <c r="D2120">
        <v>-0.69314718055994529</v>
      </c>
      <c r="E2120">
        <v>5.4967357243051913E-2</v>
      </c>
      <c r="F2120">
        <v>486.45729394540564</v>
      </c>
    </row>
    <row r="2121" spans="1:6" x14ac:dyDescent="0.3">
      <c r="A2121">
        <v>0.1</v>
      </c>
      <c r="B2121" t="s">
        <v>97</v>
      </c>
      <c r="C2121">
        <v>-0.59</v>
      </c>
      <c r="D2121">
        <v>-0.67766606775796179</v>
      </c>
      <c r="E2121">
        <v>5.4644414773028144E-2</v>
      </c>
      <c r="F2121">
        <v>497.07251560104959</v>
      </c>
    </row>
    <row r="2122" spans="1:6" x14ac:dyDescent="0.3">
      <c r="A2122">
        <v>0.1</v>
      </c>
      <c r="B2122" t="s">
        <v>97</v>
      </c>
      <c r="C2122">
        <v>-0.57999999999999996</v>
      </c>
      <c r="D2122">
        <v>-0.66246270737179924</v>
      </c>
      <c r="E2122">
        <v>5.4318931497081842E-2</v>
      </c>
      <c r="F2122">
        <v>507.96352276262036</v>
      </c>
    </row>
    <row r="2123" spans="1:6" x14ac:dyDescent="0.3">
      <c r="A2123">
        <v>0.1</v>
      </c>
      <c r="B2123" t="s">
        <v>97</v>
      </c>
      <c r="C2123">
        <v>-0.56999999999999995</v>
      </c>
      <c r="D2123">
        <v>-0.64752284482737277</v>
      </c>
      <c r="E2123">
        <v>5.3990696241084234E-2</v>
      </c>
      <c r="F2123">
        <v>519.14657899373572</v>
      </c>
    </row>
    <row r="2124" spans="1:6" x14ac:dyDescent="0.3">
      <c r="A2124">
        <v>0.1</v>
      </c>
      <c r="B2124" t="s">
        <v>97</v>
      </c>
      <c r="C2124">
        <v>-0.56000000000000005</v>
      </c>
      <c r="D2124">
        <v>-0.63283318666563804</v>
      </c>
      <c r="E2124">
        <v>5.3659519476615333E-2</v>
      </c>
      <c r="F2124">
        <v>530.63890413741467</v>
      </c>
    </row>
    <row r="2125" spans="1:6" x14ac:dyDescent="0.3">
      <c r="A2125">
        <v>0.1</v>
      </c>
      <c r="B2125" t="s">
        <v>97</v>
      </c>
      <c r="C2125">
        <v>-0.55000000000000004</v>
      </c>
      <c r="D2125">
        <v>-0.61838131357446346</v>
      </c>
      <c r="E2125">
        <v>5.3325165529598387E-2</v>
      </c>
      <c r="F2125">
        <v>542.45886226483856</v>
      </c>
    </row>
    <row r="2126" spans="1:6" x14ac:dyDescent="0.3">
      <c r="A2126">
        <v>0.1</v>
      </c>
      <c r="B2126" t="s">
        <v>97</v>
      </c>
      <c r="C2126">
        <v>-0.54</v>
      </c>
      <c r="D2126">
        <v>-0.60415560296226711</v>
      </c>
      <c r="E2126">
        <v>5.2987447647341736E-2</v>
      </c>
      <c r="F2126">
        <v>554.6259396254917</v>
      </c>
    </row>
    <row r="2127" spans="1:6" x14ac:dyDescent="0.3">
      <c r="A2127">
        <v>0.1</v>
      </c>
      <c r="B2127" t="s">
        <v>97</v>
      </c>
      <c r="C2127">
        <v>-0.53</v>
      </c>
      <c r="D2127">
        <v>-0.59014515984118854</v>
      </c>
      <c r="E2127">
        <v>5.2646135317936348E-2</v>
      </c>
      <c r="F2127">
        <v>567.16099000038651</v>
      </c>
    </row>
    <row r="2128" spans="1:6" x14ac:dyDescent="0.3">
      <c r="A2128">
        <v>0.1</v>
      </c>
      <c r="B2128" t="s">
        <v>97</v>
      </c>
      <c r="C2128">
        <v>-0.52</v>
      </c>
      <c r="D2128">
        <v>-0.57633975496919276</v>
      </c>
      <c r="E2128">
        <v>5.2301023161933344E-2</v>
      </c>
      <c r="F2128">
        <v>580.08626654379191</v>
      </c>
    </row>
    <row r="2129" spans="1:6" x14ac:dyDescent="0.3">
      <c r="A2129">
        <v>0.1</v>
      </c>
      <c r="B2129" t="s">
        <v>97</v>
      </c>
      <c r="C2129">
        <v>-0.51</v>
      </c>
      <c r="D2129">
        <v>-0.56272976935214891</v>
      </c>
      <c r="E2129">
        <v>5.1951872806563139E-2</v>
      </c>
      <c r="F2129">
        <v>593.42565240882959</v>
      </c>
    </row>
    <row r="2130" spans="1:6" x14ac:dyDescent="0.3">
      <c r="A2130">
        <v>0.1</v>
      </c>
      <c r="B2130" t="s">
        <v>97</v>
      </c>
      <c r="C2130">
        <v>-0.5</v>
      </c>
      <c r="D2130">
        <v>-0.54930614433405489</v>
      </c>
      <c r="E2130">
        <v>5.1598445588445348E-2</v>
      </c>
      <c r="F2130">
        <v>607.20477343329753</v>
      </c>
    </row>
    <row r="2131" spans="1:6" x14ac:dyDescent="0.3">
      <c r="A2131">
        <v>0.1</v>
      </c>
      <c r="B2131" t="s">
        <v>97</v>
      </c>
      <c r="C2131">
        <v>-0.49</v>
      </c>
      <c r="D2131">
        <v>-0.53606033661056662</v>
      </c>
      <c r="E2131">
        <v>5.1240522042005805E-2</v>
      </c>
      <c r="F2131">
        <v>621.45114094265762</v>
      </c>
    </row>
    <row r="2132" spans="1:6" x14ac:dyDescent="0.3">
      <c r="A2132">
        <v>0.1</v>
      </c>
      <c r="B2132" t="s">
        <v>97</v>
      </c>
      <c r="C2132">
        <v>-0.48</v>
      </c>
      <c r="D2132">
        <v>-0.5229842775913438</v>
      </c>
      <c r="E2132">
        <v>5.0877843967763479E-2</v>
      </c>
      <c r="F2132">
        <v>636.19444832785905</v>
      </c>
    </row>
    <row r="2133" spans="1:6" x14ac:dyDescent="0.3">
      <c r="A2133">
        <v>0.1</v>
      </c>
      <c r="B2133" t="s">
        <v>97</v>
      </c>
      <c r="C2133">
        <v>-0.47</v>
      </c>
      <c r="D2133">
        <v>-0.51007033661330725</v>
      </c>
      <c r="E2133">
        <v>5.0510155944243136E-2</v>
      </c>
      <c r="F2133">
        <v>651.46672648931792</v>
      </c>
    </row>
    <row r="2134" spans="1:6" x14ac:dyDescent="0.3">
      <c r="A2134">
        <v>0.1</v>
      </c>
      <c r="B2134" t="s">
        <v>97</v>
      </c>
      <c r="C2134">
        <v>-0.46</v>
      </c>
      <c r="D2134">
        <v>-0.49731128757203097</v>
      </c>
      <c r="E2134">
        <v>5.0137201727095543E-2</v>
      </c>
      <c r="F2134">
        <v>667.30259867119378</v>
      </c>
    </row>
    <row r="2135" spans="1:6" x14ac:dyDescent="0.3">
      <c r="A2135">
        <v>0.1</v>
      </c>
      <c r="B2135" t="s">
        <v>97</v>
      </c>
      <c r="C2135">
        <v>-0.45</v>
      </c>
      <c r="D2135">
        <v>-0.48470027859405168</v>
      </c>
      <c r="E2135">
        <v>4.9758688893113585E-2</v>
      </c>
      <c r="F2135">
        <v>683.73963297541002</v>
      </c>
    </row>
    <row r="2136" spans="1:6" x14ac:dyDescent="0.3">
      <c r="A2136">
        <v>0.1</v>
      </c>
      <c r="B2136" t="s">
        <v>97</v>
      </c>
      <c r="C2136">
        <v>-0.44</v>
      </c>
      <c r="D2136">
        <v>-0.47223080442042559</v>
      </c>
      <c r="E2136">
        <v>4.937433889057688E-2</v>
      </c>
      <c r="F2136">
        <v>700.81856685345474</v>
      </c>
    </row>
    <row r="2137" spans="1:6" x14ac:dyDescent="0.3">
      <c r="A2137">
        <v>0.1</v>
      </c>
      <c r="B2137" t="s">
        <v>97</v>
      </c>
      <c r="C2137">
        <v>-0.43</v>
      </c>
      <c r="D2137">
        <v>-0.45989668121267852</v>
      </c>
      <c r="E2137">
        <v>4.8983840931877701E-2</v>
      </c>
      <c r="F2137">
        <v>718.58376255599069</v>
      </c>
    </row>
    <row r="2138" spans="1:6" x14ac:dyDescent="0.3">
      <c r="A2138">
        <v>0.1</v>
      </c>
      <c r="B2138" t="s">
        <v>97</v>
      </c>
      <c r="C2138">
        <v>-0.42</v>
      </c>
      <c r="D2138">
        <v>-0.4476920235274206</v>
      </c>
      <c r="E2138">
        <v>4.8586890463001395E-2</v>
      </c>
      <c r="F2138">
        <v>737.08354062745207</v>
      </c>
    </row>
    <row r="2139" spans="1:6" x14ac:dyDescent="0.3">
      <c r="A2139">
        <v>0.1</v>
      </c>
      <c r="B2139" t="s">
        <v>97</v>
      </c>
      <c r="C2139">
        <v>-0.41</v>
      </c>
      <c r="D2139">
        <v>-0.43561122323622431</v>
      </c>
      <c r="E2139">
        <v>4.818315419025733E-2</v>
      </c>
      <c r="F2139">
        <v>756.37072663808055</v>
      </c>
    </row>
    <row r="2140" spans="1:6" x14ac:dyDescent="0.3">
      <c r="A2140">
        <v>0.1</v>
      </c>
      <c r="B2140" t="s">
        <v>97</v>
      </c>
      <c r="C2140">
        <v>-0.4</v>
      </c>
      <c r="D2140">
        <v>-0.42364893019360178</v>
      </c>
      <c r="E2140">
        <v>4.7772267207131992E-2</v>
      </c>
      <c r="F2140">
        <v>776.50320501664896</v>
      </c>
    </row>
    <row r="2141" spans="1:6" x14ac:dyDescent="0.3">
      <c r="A2141">
        <v>0.1</v>
      </c>
      <c r="B2141" t="s">
        <v>97</v>
      </c>
      <c r="C2141">
        <v>-0.39</v>
      </c>
      <c r="D2141">
        <v>-0.41180003447869035</v>
      </c>
      <c r="E2141">
        <v>4.7353880377018924E-2</v>
      </c>
      <c r="F2141">
        <v>797.54442328103835</v>
      </c>
    </row>
    <row r="2142" spans="1:6" x14ac:dyDescent="0.3">
      <c r="A2142">
        <v>0.1</v>
      </c>
      <c r="B2142" t="s">
        <v>97</v>
      </c>
      <c r="C2142">
        <v>-0.38</v>
      </c>
      <c r="D2142">
        <v>-0.40005965005605654</v>
      </c>
      <c r="E2142">
        <v>4.692759107862006E-2</v>
      </c>
      <c r="F2142">
        <v>819.56427763053023</v>
      </c>
    </row>
    <row r="2143" spans="1:6" x14ac:dyDescent="0.3">
      <c r="A2143">
        <v>0.1</v>
      </c>
      <c r="B2143" t="s">
        <v>97</v>
      </c>
      <c r="C2143">
        <v>-0.37</v>
      </c>
      <c r="D2143">
        <v>-0.38842309971829614</v>
      </c>
      <c r="E2143">
        <v>4.6492990814119201E-2</v>
      </c>
      <c r="F2143">
        <v>842.63982231408841</v>
      </c>
    </row>
    <row r="2144" spans="1:6" x14ac:dyDescent="0.3">
      <c r="A2144">
        <v>0.1</v>
      </c>
      <c r="B2144" t="s">
        <v>97</v>
      </c>
      <c r="C2144">
        <v>-0.36</v>
      </c>
      <c r="D2144">
        <v>-0.37688590118819004</v>
      </c>
      <c r="E2144">
        <v>4.6049651907463705E-2</v>
      </c>
      <c r="F2144">
        <v>866.85625878817086</v>
      </c>
    </row>
    <row r="2145" spans="1:6" x14ac:dyDescent="0.3">
      <c r="A2145">
        <v>0.1</v>
      </c>
      <c r="B2145" t="s">
        <v>97</v>
      </c>
      <c r="C2145">
        <v>-0.35</v>
      </c>
      <c r="D2145">
        <v>-0.36544375427139619</v>
      </c>
      <c r="E2145">
        <v>4.5597095661382377E-2</v>
      </c>
      <c r="F2145">
        <v>892.308149880683</v>
      </c>
    </row>
    <row r="2146" spans="1:6" x14ac:dyDescent="0.3">
      <c r="A2146">
        <v>0.1</v>
      </c>
      <c r="B2146" t="s">
        <v>97</v>
      </c>
      <c r="C2146">
        <v>-0.34</v>
      </c>
      <c r="D2146">
        <v>-0.35409252896224297</v>
      </c>
      <c r="E2146">
        <v>4.5134834247183675E-2</v>
      </c>
      <c r="F2146">
        <v>919.10060628508757</v>
      </c>
    </row>
    <row r="2147" spans="1:6" x14ac:dyDescent="0.3">
      <c r="A2147">
        <v>0.1</v>
      </c>
      <c r="B2147" t="s">
        <v>97</v>
      </c>
      <c r="C2147">
        <v>-0.33</v>
      </c>
      <c r="D2147">
        <v>-0.34282825441539394</v>
      </c>
      <c r="E2147">
        <v>4.4662320319920033E-2</v>
      </c>
      <c r="F2147">
        <v>947.35098316840811</v>
      </c>
    </row>
    <row r="2148" spans="1:6" x14ac:dyDescent="0.3">
      <c r="A2148">
        <v>0.1</v>
      </c>
      <c r="B2148" t="s">
        <v>97</v>
      </c>
      <c r="C2148">
        <v>-0.32</v>
      </c>
      <c r="D2148">
        <v>-0.3316471087051322</v>
      </c>
      <c r="E2148">
        <v>4.4178993686106637E-2</v>
      </c>
      <c r="F2148">
        <v>977.19054574281586</v>
      </c>
    </row>
    <row r="2149" spans="1:6" x14ac:dyDescent="0.3">
      <c r="A2149">
        <v>0.1</v>
      </c>
      <c r="B2149" t="s">
        <v>97</v>
      </c>
      <c r="C2149">
        <v>-0.31</v>
      </c>
      <c r="D2149">
        <v>-0.32054540930194608</v>
      </c>
      <c r="E2149">
        <v>4.3684251092035227E-2</v>
      </c>
      <c r="F2149">
        <v>1008.7667169264043</v>
      </c>
    </row>
    <row r="2150" spans="1:6" x14ac:dyDescent="0.3">
      <c r="A2150">
        <v>0.1</v>
      </c>
      <c r="B2150" t="s">
        <v>97</v>
      </c>
      <c r="C2150">
        <v>-0.3</v>
      </c>
      <c r="D2150">
        <v>-0.30951960420311175</v>
      </c>
      <c r="E2150">
        <v>4.3177436370749389E-2</v>
      </c>
      <c r="F2150">
        <v>1042.2456846546283</v>
      </c>
    </row>
    <row r="2151" spans="1:6" x14ac:dyDescent="0.3">
      <c r="A2151">
        <v>0.1</v>
      </c>
      <c r="B2151" t="s">
        <v>97</v>
      </c>
      <c r="C2151">
        <v>-0.28999999999999998</v>
      </c>
      <c r="D2151">
        <v>-0.29856626366017835</v>
      </c>
      <c r="E2151">
        <v>4.2657831432466556E-2</v>
      </c>
      <c r="F2151">
        <v>1077.8155242139037</v>
      </c>
    </row>
    <row r="2152" spans="1:6" x14ac:dyDescent="0.3">
      <c r="A2152">
        <v>0.1</v>
      </c>
      <c r="B2152" t="s">
        <v>97</v>
      </c>
      <c r="C2152">
        <v>-0.28000000000000003</v>
      </c>
      <c r="D2152">
        <v>-0.2876820724517809</v>
      </c>
      <c r="E2152">
        <v>4.2124666287772033E-2</v>
      </c>
      <c r="F2152">
        <v>1115.6898743291811</v>
      </c>
    </row>
    <row r="2153" spans="1:6" x14ac:dyDescent="0.3">
      <c r="A2153">
        <v>0.1</v>
      </c>
      <c r="B2153" t="s">
        <v>97</v>
      </c>
      <c r="C2153">
        <v>-0.27</v>
      </c>
      <c r="D2153">
        <v>-0.27686382265510007</v>
      </c>
      <c r="E2153">
        <v>4.1577128952532225E-2</v>
      </c>
      <c r="F2153">
        <v>1156.1123814615185</v>
      </c>
    </row>
    <row r="2154" spans="1:6" x14ac:dyDescent="0.3">
      <c r="A2154">
        <v>0.1</v>
      </c>
      <c r="B2154" t="s">
        <v>97</v>
      </c>
      <c r="C2154">
        <v>-0.26</v>
      </c>
      <c r="D2154">
        <v>-0.26610840687365411</v>
      </c>
      <c r="E2154">
        <v>4.1014303795994037E-2</v>
      </c>
      <c r="F2154">
        <v>1199.3624807377507</v>
      </c>
    </row>
    <row r="2155" spans="1:6" x14ac:dyDescent="0.3">
      <c r="A2155">
        <v>0.1</v>
      </c>
      <c r="B2155" t="s">
        <v>97</v>
      </c>
      <c r="C2155">
        <v>-0.25</v>
      </c>
      <c r="D2155">
        <v>-0.25541281188299536</v>
      </c>
      <c r="E2155">
        <v>4.0435184467456094E-2</v>
      </c>
      <c r="F2155">
        <v>1245.7621269250462</v>
      </c>
    </row>
    <row r="2156" spans="1:6" x14ac:dyDescent="0.3">
      <c r="A2156">
        <v>0.1</v>
      </c>
      <c r="B2156" t="s">
        <v>97</v>
      </c>
      <c r="C2156">
        <v>-0.24</v>
      </c>
      <c r="D2156">
        <v>-0.24477411265935289</v>
      </c>
      <c r="E2156">
        <v>3.9838721817468219E-2</v>
      </c>
      <c r="F2156">
        <v>1295.6838962800125</v>
      </c>
    </row>
    <row r="2157" spans="1:6" x14ac:dyDescent="0.3">
      <c r="A2157">
        <v>0.1</v>
      </c>
      <c r="B2157" t="s">
        <v>97</v>
      </c>
      <c r="C2157">
        <v>-0.23</v>
      </c>
      <c r="D2157">
        <v>-0.23418946675936678</v>
      </c>
      <c r="E2157">
        <v>3.9223678561559977E-2</v>
      </c>
      <c r="F2157">
        <v>1349.5622700477029</v>
      </c>
    </row>
    <row r="2158" spans="1:6" x14ac:dyDescent="0.3">
      <c r="A2158">
        <v>0.1</v>
      </c>
      <c r="B2158" t="s">
        <v>97</v>
      </c>
      <c r="C2158">
        <v>-0.22</v>
      </c>
      <c r="D2158">
        <v>-0.22365610902183239</v>
      </c>
      <c r="E2158">
        <v>3.8588785355280396E-2</v>
      </c>
      <c r="F2158">
        <v>1407.9059086557804</v>
      </c>
    </row>
    <row r="2159" spans="1:6" x14ac:dyDescent="0.3">
      <c r="A2159">
        <v>0.1</v>
      </c>
      <c r="B2159" t="s">
        <v>97</v>
      </c>
      <c r="C2159">
        <v>-0.21</v>
      </c>
      <c r="D2159">
        <v>-0.21317134656485975</v>
      </c>
      <c r="E2159">
        <v>3.7932530653736793E-2</v>
      </c>
      <c r="F2159">
        <v>1471.3157530111889</v>
      </c>
    </row>
    <row r="2160" spans="1:6" x14ac:dyDescent="0.3">
      <c r="A2160">
        <v>0.1</v>
      </c>
      <c r="B2160" t="s">
        <v>97</v>
      </c>
      <c r="C2160">
        <v>-0.2</v>
      </c>
      <c r="D2160">
        <v>-0.20273255405408214</v>
      </c>
      <c r="E2160">
        <v>3.7253318063021089E-2</v>
      </c>
      <c r="F2160">
        <v>1540.5055660342402</v>
      </c>
    </row>
    <row r="2161" spans="1:6" x14ac:dyDescent="0.3">
      <c r="A2161">
        <v>0.1</v>
      </c>
      <c r="B2161" t="s">
        <v>97</v>
      </c>
      <c r="C2161">
        <v>-0.19</v>
      </c>
      <c r="D2161">
        <v>-0.1923371692195453</v>
      </c>
      <c r="E2161">
        <v>3.6549314368778063E-2</v>
      </c>
      <c r="F2161">
        <v>1616.3310184266993</v>
      </c>
    </row>
    <row r="2162" spans="1:6" x14ac:dyDescent="0.3">
      <c r="A2162">
        <v>0.1</v>
      </c>
      <c r="B2162" t="s">
        <v>97</v>
      </c>
      <c r="C2162">
        <v>-0.18</v>
      </c>
      <c r="D2162">
        <v>-0.18198268860070579</v>
      </c>
      <c r="E2162">
        <v>3.5818456348953698E-2</v>
      </c>
      <c r="F2162">
        <v>1699.8266042000951</v>
      </c>
    </row>
    <row r="2163" spans="1:6" x14ac:dyDescent="0.3">
      <c r="A2163">
        <v>0.1</v>
      </c>
      <c r="B2163" t="s">
        <v>97</v>
      </c>
      <c r="C2163">
        <v>-0.17</v>
      </c>
      <c r="D2163">
        <v>-0.17166666350057908</v>
      </c>
      <c r="E2163">
        <v>3.5058392633568754E-2</v>
      </c>
      <c r="F2163">
        <v>1792.2554020473322</v>
      </c>
    </row>
    <row r="2164" spans="1:6" x14ac:dyDescent="0.3">
      <c r="A2164">
        <v>0.1</v>
      </c>
      <c r="B2164" t="s">
        <v>97</v>
      </c>
      <c r="C2164">
        <v>-0.16</v>
      </c>
      <c r="D2164">
        <v>-0.16138669613152551</v>
      </c>
      <c r="E2164">
        <v>3.426647906381796E-2</v>
      </c>
      <c r="F2164">
        <v>1895.1757413222408</v>
      </c>
    </row>
    <row r="2165" spans="1:6" x14ac:dyDescent="0.3">
      <c r="A2165">
        <v>0.1</v>
      </c>
      <c r="B2165" t="s">
        <v>97</v>
      </c>
      <c r="C2165">
        <v>-0.15</v>
      </c>
      <c r="D2165">
        <v>-0.15114043593646675</v>
      </c>
      <c r="E2165">
        <v>3.3439614347686615E-2</v>
      </c>
      <c r="F2165">
        <v>2010.5347227931602</v>
      </c>
    </row>
    <row r="2166" spans="1:6" x14ac:dyDescent="0.3">
      <c r="A2166">
        <v>0.1</v>
      </c>
      <c r="B2166" t="s">
        <v>97</v>
      </c>
      <c r="C2166">
        <v>-0.14000000000000001</v>
      </c>
      <c r="D2166">
        <v>-0.14092557607049394</v>
      </c>
      <c r="E2166">
        <v>3.2574246696875087E-2</v>
      </c>
      <c r="F2166">
        <v>2140.7969477801576</v>
      </c>
    </row>
    <row r="2167" spans="1:6" x14ac:dyDescent="0.3">
      <c r="A2167">
        <v>0.1</v>
      </c>
      <c r="B2167" t="s">
        <v>97</v>
      </c>
      <c r="C2167">
        <v>-0.13</v>
      </c>
      <c r="D2167">
        <v>-0.13073985002887836</v>
      </c>
      <c r="E2167">
        <v>3.166617624122911E-2</v>
      </c>
      <c r="F2167">
        <v>2289.1314023083401</v>
      </c>
    </row>
    <row r="2168" spans="1:6" x14ac:dyDescent="0.3">
      <c r="A2168">
        <v>0.1</v>
      </c>
      <c r="B2168" t="s">
        <v>97</v>
      </c>
      <c r="C2168">
        <v>-0.12</v>
      </c>
      <c r="D2168">
        <v>-0.12058102840844405</v>
      </c>
      <c r="E2168">
        <v>3.0710433889303033E-2</v>
      </c>
      <c r="F2168">
        <v>2459.6837862782304</v>
      </c>
    </row>
    <row r="2169" spans="1:6" x14ac:dyDescent="0.3">
      <c r="A2169">
        <v>0.1</v>
      </c>
      <c r="B2169" t="s">
        <v>97</v>
      </c>
      <c r="C2169">
        <v>-0.11</v>
      </c>
      <c r="D2169">
        <v>-0.1104469157900972</v>
      </c>
      <c r="E2169">
        <v>2.9700999159654327E-2</v>
      </c>
      <c r="F2169">
        <v>2657.9889784034522</v>
      </c>
    </row>
    <row r="2170" spans="1:6" x14ac:dyDescent="0.3">
      <c r="A2170">
        <v>0.1</v>
      </c>
      <c r="B2170" t="s">
        <v>97</v>
      </c>
      <c r="C2170">
        <v>-0.1</v>
      </c>
      <c r="D2170">
        <v>-0.10033534773107562</v>
      </c>
      <c r="E2170">
        <v>2.8630584120167266E-2</v>
      </c>
      <c r="F2170">
        <v>2891.6092256037396</v>
      </c>
    </row>
    <row r="2171" spans="1:6" x14ac:dyDescent="0.3">
      <c r="A2171">
        <v>0.1</v>
      </c>
      <c r="B2171" t="s">
        <v>97</v>
      </c>
      <c r="C2171">
        <v>-0.09</v>
      </c>
      <c r="D2171">
        <v>-9.0244187856146837E-2</v>
      </c>
      <c r="E2171">
        <v>2.7490038118640044E-2</v>
      </c>
      <c r="F2171">
        <v>3171.1703633622396</v>
      </c>
    </row>
    <row r="2172" spans="1:6" x14ac:dyDescent="0.3">
      <c r="A2172">
        <v>0.1</v>
      </c>
      <c r="B2172" t="s">
        <v>97</v>
      </c>
      <c r="C2172">
        <v>-0.08</v>
      </c>
      <c r="D2172">
        <v>-8.0171325037589683E-2</v>
      </c>
      <c r="E2172">
        <v>2.6267762904819154E-2</v>
      </c>
      <c r="F2172">
        <v>3512.1024368500798</v>
      </c>
    </row>
    <row r="2173" spans="1:6" x14ac:dyDescent="0.3">
      <c r="A2173">
        <v>0.1</v>
      </c>
      <c r="B2173" t="s">
        <v>97</v>
      </c>
      <c r="C2173">
        <v>-7.0000000000000007E-2</v>
      </c>
      <c r="D2173">
        <v>-7.0114670654325195E-2</v>
      </c>
      <c r="E2173">
        <v>2.4948557286122091E-2</v>
      </c>
      <c r="F2173">
        <v>3937.7409476147232</v>
      </c>
    </row>
    <row r="2174" spans="1:6" x14ac:dyDescent="0.3">
      <c r="A2174">
        <v>0.1</v>
      </c>
      <c r="B2174" t="s">
        <v>97</v>
      </c>
      <c r="C2174">
        <v>-0.06</v>
      </c>
      <c r="D2174">
        <v>-6.007215592103167E-2</v>
      </c>
      <c r="E2174">
        <v>2.3511801077839636E-2</v>
      </c>
      <c r="F2174">
        <v>4485.2132452114156</v>
      </c>
    </row>
    <row r="2175" spans="1:6" x14ac:dyDescent="0.3">
      <c r="A2175">
        <v>0.1</v>
      </c>
      <c r="B2175" t="s">
        <v>97</v>
      </c>
      <c r="C2175">
        <v>-0.05</v>
      </c>
      <c r="D2175">
        <v>-5.0041729278491327E-2</v>
      </c>
      <c r="E2175">
        <v>2.1928298256749516E-2</v>
      </c>
      <c r="F2175">
        <v>5217.5807798398473</v>
      </c>
    </row>
    <row r="2176" spans="1:6" x14ac:dyDescent="0.3">
      <c r="A2176">
        <v>0.1</v>
      </c>
      <c r="B2176" t="s">
        <v>97</v>
      </c>
      <c r="C2176">
        <v>-0.04</v>
      </c>
      <c r="D2176">
        <v>-4.0021353836768248E-2</v>
      </c>
      <c r="E2176">
        <v>2.0154129627405648E-2</v>
      </c>
      <c r="F2176">
        <v>6251.7986491869451</v>
      </c>
    </row>
    <row r="2177" spans="1:6" x14ac:dyDescent="0.3">
      <c r="A2177">
        <v>0.1</v>
      </c>
      <c r="B2177" t="s">
        <v>97</v>
      </c>
      <c r="C2177">
        <v>-0.03</v>
      </c>
      <c r="D2177">
        <v>-3.000900486312652E-2</v>
      </c>
      <c r="E2177">
        <v>1.8117226215570045E-2</v>
      </c>
      <c r="F2177">
        <v>7833.7333764517243</v>
      </c>
    </row>
    <row r="2178" spans="1:6" x14ac:dyDescent="0.3">
      <c r="A2178">
        <v>0.1</v>
      </c>
      <c r="B2178" t="s">
        <v>97</v>
      </c>
      <c r="C2178">
        <v>-0.02</v>
      </c>
      <c r="D2178">
        <v>-2.0002667306849624E-2</v>
      </c>
      <c r="E2178">
        <v>1.5682399571896845E-2</v>
      </c>
      <c r="F2178">
        <v>10591.934409228277</v>
      </c>
    </row>
    <row r="2179" spans="1:6" x14ac:dyDescent="0.3">
      <c r="A2179">
        <v>0.1</v>
      </c>
      <c r="B2179" t="s">
        <v>97</v>
      </c>
      <c r="C2179">
        <v>-0.01</v>
      </c>
      <c r="D2179">
        <v>-1.0000333353334771E-2</v>
      </c>
      <c r="E2179">
        <v>1.2525738961983054E-2</v>
      </c>
      <c r="F2179">
        <v>16835.378562569909</v>
      </c>
    </row>
    <row r="2180" spans="1:6" x14ac:dyDescent="0.3">
      <c r="A2180">
        <v>0.05</v>
      </c>
      <c r="B2180" t="s">
        <v>97</v>
      </c>
      <c r="C2180">
        <v>-0.99</v>
      </c>
      <c r="D2180">
        <v>-2.6466524123622457</v>
      </c>
      <c r="E2180">
        <v>8.4343097458036115E-2</v>
      </c>
      <c r="F2180">
        <v>131.00410098875852</v>
      </c>
    </row>
    <row r="2181" spans="1:6" x14ac:dyDescent="0.3">
      <c r="A2181">
        <v>0.05</v>
      </c>
      <c r="B2181" t="s">
        <v>97</v>
      </c>
      <c r="C2181">
        <v>-0.98</v>
      </c>
      <c r="D2181">
        <v>-2.2975599250672945</v>
      </c>
      <c r="E2181">
        <v>8.2889817417096973E-2</v>
      </c>
      <c r="F2181">
        <v>150.10555327678566</v>
      </c>
    </row>
    <row r="2182" spans="1:6" x14ac:dyDescent="0.3">
      <c r="A2182">
        <v>0.05</v>
      </c>
      <c r="B2182" t="s">
        <v>97</v>
      </c>
      <c r="C2182">
        <v>-0.97</v>
      </c>
      <c r="D2182">
        <v>-2.0922957200349388</v>
      </c>
      <c r="E2182">
        <v>8.1860186858394829E-2</v>
      </c>
      <c r="F2182">
        <v>164.25871336748369</v>
      </c>
    </row>
    <row r="2183" spans="1:6" x14ac:dyDescent="0.3">
      <c r="A2183">
        <v>0.05</v>
      </c>
      <c r="B2183" t="s">
        <v>97</v>
      </c>
      <c r="C2183">
        <v>-0.96</v>
      </c>
      <c r="D2183">
        <v>-1.9459101490553128</v>
      </c>
      <c r="E2183">
        <v>8.1024763727281277E-2</v>
      </c>
      <c r="F2183">
        <v>176.14111880098358</v>
      </c>
    </row>
    <row r="2184" spans="1:6" x14ac:dyDescent="0.3">
      <c r="A2184">
        <v>0.05</v>
      </c>
      <c r="B2184" t="s">
        <v>97</v>
      </c>
      <c r="C2184">
        <v>-0.95</v>
      </c>
      <c r="D2184">
        <v>-1.8317808230648227</v>
      </c>
      <c r="E2184">
        <v>8.0303711327928962E-2</v>
      </c>
      <c r="F2184">
        <v>186.69629888567391</v>
      </c>
    </row>
    <row r="2185" spans="1:6" x14ac:dyDescent="0.3">
      <c r="A2185">
        <v>0.05</v>
      </c>
      <c r="B2185" t="s">
        <v>97</v>
      </c>
      <c r="C2185">
        <v>-0.94</v>
      </c>
      <c r="D2185">
        <v>-1.7380493449176362</v>
      </c>
      <c r="E2185">
        <v>7.9658854843429966E-2</v>
      </c>
      <c r="F2185">
        <v>196.3800667468542</v>
      </c>
    </row>
    <row r="2186" spans="1:6" x14ac:dyDescent="0.3">
      <c r="A2186">
        <v>0.05</v>
      </c>
      <c r="B2186" t="s">
        <v>97</v>
      </c>
      <c r="C2186">
        <v>-0.93</v>
      </c>
      <c r="D2186">
        <v>-1.6583900199247865</v>
      </c>
      <c r="E2186">
        <v>7.9068628726392531E-2</v>
      </c>
      <c r="F2186">
        <v>205.45184334567608</v>
      </c>
    </row>
    <row r="2187" spans="1:6" x14ac:dyDescent="0.3">
      <c r="A2187">
        <v>0.05</v>
      </c>
      <c r="B2187" t="s">
        <v>97</v>
      </c>
      <c r="C2187">
        <v>-0.92</v>
      </c>
      <c r="D2187">
        <v>-1.5890269151739731</v>
      </c>
      <c r="E2187">
        <v>7.8519544995140883E-2</v>
      </c>
      <c r="F2187">
        <v>214.07533556690137</v>
      </c>
    </row>
    <row r="2188" spans="1:6" x14ac:dyDescent="0.3">
      <c r="A2188">
        <v>0.05</v>
      </c>
      <c r="B2188" t="s">
        <v>97</v>
      </c>
      <c r="C2188">
        <v>-0.91</v>
      </c>
      <c r="D2188">
        <v>-1.5275244253552054</v>
      </c>
      <c r="E2188">
        <v>7.8002598867527792E-2</v>
      </c>
      <c r="F2188">
        <v>222.36155863129949</v>
      </c>
    </row>
    <row r="2189" spans="1:6" x14ac:dyDescent="0.3">
      <c r="A2189">
        <v>0.05</v>
      </c>
      <c r="B2189" t="s">
        <v>97</v>
      </c>
      <c r="C2189">
        <v>-0.9</v>
      </c>
      <c r="D2189">
        <v>-1.4722194895832204</v>
      </c>
      <c r="E2189">
        <v>7.7511328745139413E-2</v>
      </c>
      <c r="F2189">
        <v>230.39001482122501</v>
      </c>
    </row>
    <row r="2190" spans="1:6" x14ac:dyDescent="0.3">
      <c r="A2190">
        <v>0.05</v>
      </c>
      <c r="B2190" t="s">
        <v>97</v>
      </c>
      <c r="C2190">
        <v>-0.89</v>
      </c>
      <c r="D2190">
        <v>-1.421925871130636</v>
      </c>
      <c r="E2190">
        <v>7.7041027908909779E-2</v>
      </c>
      <c r="F2190">
        <v>238.22005583915134</v>
      </c>
    </row>
    <row r="2191" spans="1:6" x14ac:dyDescent="0.3">
      <c r="A2191">
        <v>0.05</v>
      </c>
      <c r="B2191" t="s">
        <v>97</v>
      </c>
      <c r="C2191">
        <v>-0.88</v>
      </c>
      <c r="D2191">
        <v>-1.3757676565209744</v>
      </c>
      <c r="E2191">
        <v>7.6588127406983925E-2</v>
      </c>
      <c r="F2191">
        <v>245.89755761210481</v>
      </c>
    </row>
    <row r="2192" spans="1:6" x14ac:dyDescent="0.3">
      <c r="A2192">
        <v>0.05</v>
      </c>
      <c r="B2192" t="s">
        <v>97</v>
      </c>
      <c r="C2192">
        <v>-0.87</v>
      </c>
      <c r="D2192">
        <v>-1.333079629696525</v>
      </c>
      <c r="E2192">
        <v>7.6149757613746399E-2</v>
      </c>
      <c r="F2192">
        <v>253.4590694978308</v>
      </c>
    </row>
    <row r="2193" spans="1:6" x14ac:dyDescent="0.3">
      <c r="A2193">
        <v>0.05</v>
      </c>
      <c r="B2193" t="s">
        <v>97</v>
      </c>
      <c r="C2193">
        <v>-0.86</v>
      </c>
      <c r="D2193">
        <v>-1.2933446720489712</v>
      </c>
      <c r="E2193">
        <v>7.5723719891856348E-2</v>
      </c>
      <c r="F2193">
        <v>260.93438127334264</v>
      </c>
    </row>
    <row r="2194" spans="1:6" x14ac:dyDescent="0.3">
      <c r="A2194">
        <v>0.05</v>
      </c>
      <c r="B2194" t="s">
        <v>97</v>
      </c>
      <c r="C2194">
        <v>-0.85</v>
      </c>
      <c r="D2194">
        <v>-1.2561528119880574</v>
      </c>
      <c r="E2194">
        <v>7.530815669692946E-2</v>
      </c>
      <c r="F2194">
        <v>268.34838717908042</v>
      </c>
    </row>
    <row r="2195" spans="1:6" x14ac:dyDescent="0.3">
      <c r="A2195">
        <v>0.05</v>
      </c>
      <c r="B2195" t="s">
        <v>97</v>
      </c>
      <c r="C2195">
        <v>-0.84</v>
      </c>
      <c r="D2195">
        <v>-1.2211735176846021</v>
      </c>
      <c r="E2195">
        <v>7.4901560596162542E-2</v>
      </c>
      <c r="F2195">
        <v>275.72227060707553</v>
      </c>
    </row>
    <row r="2196" spans="1:6" x14ac:dyDescent="0.3">
      <c r="A2196">
        <v>0.05</v>
      </c>
      <c r="B2196" t="s">
        <v>97</v>
      </c>
      <c r="C2196">
        <v>-0.83</v>
      </c>
      <c r="D2196">
        <v>-1.1881364043926024</v>
      </c>
      <c r="E2196">
        <v>7.4502642586007431E-2</v>
      </c>
      <c r="F2196">
        <v>283.07441500591267</v>
      </c>
    </row>
    <row r="2197" spans="1:6" x14ac:dyDescent="0.3">
      <c r="A2197">
        <v>0.05</v>
      </c>
      <c r="B2197" t="s">
        <v>97</v>
      </c>
      <c r="C2197">
        <v>-0.82</v>
      </c>
      <c r="D2197">
        <v>-1.1568174645903151</v>
      </c>
      <c r="E2197">
        <v>7.4110337165690279E-2</v>
      </c>
      <c r="F2197">
        <v>290.42101833642482</v>
      </c>
    </row>
    <row r="2198" spans="1:6" x14ac:dyDescent="0.3">
      <c r="A2198">
        <v>0.05</v>
      </c>
      <c r="B2198" t="s">
        <v>97</v>
      </c>
      <c r="C2198">
        <v>-0.81</v>
      </c>
      <c r="D2198">
        <v>-1.1270290260496929</v>
      </c>
      <c r="E2198">
        <v>7.3723685203878536E-2</v>
      </c>
      <c r="F2198">
        <v>297.77661767515042</v>
      </c>
    </row>
    <row r="2199" spans="1:6" x14ac:dyDescent="0.3">
      <c r="A2199">
        <v>0.05</v>
      </c>
      <c r="B2199" t="s">
        <v>97</v>
      </c>
      <c r="C2199">
        <v>-0.8</v>
      </c>
      <c r="D2199">
        <v>-1.0986122886681098</v>
      </c>
      <c r="E2199">
        <v>7.3341875963612607E-2</v>
      </c>
      <c r="F2199">
        <v>305.15441779317422</v>
      </c>
    </row>
    <row r="2200" spans="1:6" x14ac:dyDescent="0.3">
      <c r="A2200">
        <v>0.05</v>
      </c>
      <c r="B2200" t="s">
        <v>97</v>
      </c>
      <c r="C2200">
        <v>-0.79</v>
      </c>
      <c r="D2200">
        <v>-1.0714316840586662</v>
      </c>
      <c r="E2200">
        <v>7.2964216981631927E-2</v>
      </c>
      <c r="F2200">
        <v>312.56657872779726</v>
      </c>
    </row>
    <row r="2201" spans="1:6" x14ac:dyDescent="0.3">
      <c r="A2201">
        <v>0.05</v>
      </c>
      <c r="B2201" t="s">
        <v>97</v>
      </c>
      <c r="C2201">
        <v>-0.78</v>
      </c>
      <c r="D2201">
        <v>-1.0453705484668847</v>
      </c>
      <c r="E2201">
        <v>7.2590045611739429E-2</v>
      </c>
      <c r="F2201">
        <v>320.02448572586263</v>
      </c>
    </row>
    <row r="2202" spans="1:6" x14ac:dyDescent="0.3">
      <c r="A2202">
        <v>0.05</v>
      </c>
      <c r="B2202" t="s">
        <v>97</v>
      </c>
      <c r="C2202">
        <v>-0.77</v>
      </c>
      <c r="D2202">
        <v>-1.0203277583223398</v>
      </c>
      <c r="E2202">
        <v>7.2218792793267178E-2</v>
      </c>
      <c r="F2202">
        <v>327.53888413148928</v>
      </c>
    </row>
    <row r="2203" spans="1:6" x14ac:dyDescent="0.3">
      <c r="A2203">
        <v>0.05</v>
      </c>
      <c r="B2203" t="s">
        <v>97</v>
      </c>
      <c r="C2203">
        <v>-0.76</v>
      </c>
      <c r="D2203">
        <v>-0.99621508234510314</v>
      </c>
      <c r="E2203">
        <v>7.1849973159433464E-2</v>
      </c>
      <c r="F2203">
        <v>335.1200243578225</v>
      </c>
    </row>
    <row r="2204" spans="1:6" x14ac:dyDescent="0.3">
      <c r="A2204">
        <v>0.05</v>
      </c>
      <c r="B2204" t="s">
        <v>97</v>
      </c>
      <c r="C2204">
        <v>-0.75</v>
      </c>
      <c r="D2204">
        <v>-0.97295507452765673</v>
      </c>
      <c r="E2204">
        <v>7.1483088105624953E-2</v>
      </c>
      <c r="F2204">
        <v>342.77784572457983</v>
      </c>
    </row>
    <row r="2205" spans="1:6" x14ac:dyDescent="0.3">
      <c r="A2205">
        <v>0.05</v>
      </c>
      <c r="B2205" t="s">
        <v>97</v>
      </c>
      <c r="C2205">
        <v>-0.74</v>
      </c>
      <c r="D2205">
        <v>-0.95047938059652348</v>
      </c>
      <c r="E2205">
        <v>7.1117732084832602E-2</v>
      </c>
      <c r="F2205">
        <v>350.5220036994927</v>
      </c>
    </row>
    <row r="2206" spans="1:6" x14ac:dyDescent="0.3">
      <c r="A2206">
        <v>0.05</v>
      </c>
      <c r="B2206" t="s">
        <v>97</v>
      </c>
      <c r="C2206">
        <v>-0.73</v>
      </c>
      <c r="D2206">
        <v>-0.92872736424672497</v>
      </c>
      <c r="E2206">
        <v>7.0753495392162025E-2</v>
      </c>
      <c r="F2206">
        <v>358.3620238594138</v>
      </c>
    </row>
    <row r="2207" spans="1:6" x14ac:dyDescent="0.3">
      <c r="A2207">
        <v>0.05</v>
      </c>
      <c r="B2207" t="s">
        <v>97</v>
      </c>
      <c r="C2207">
        <v>-0.72</v>
      </c>
      <c r="D2207">
        <v>-0.90764498331912458</v>
      </c>
      <c r="E2207">
        <v>7.0390031670270276E-2</v>
      </c>
      <c r="F2207">
        <v>366.30732816073447</v>
      </c>
    </row>
    <row r="2208" spans="1:6" x14ac:dyDescent="0.3">
      <c r="A2208">
        <v>0.05</v>
      </c>
      <c r="B2208" t="s">
        <v>97</v>
      </c>
      <c r="C2208">
        <v>-0.71</v>
      </c>
      <c r="D2208">
        <v>-0.88718386325809284</v>
      </c>
      <c r="E2208">
        <v>7.0026972060131032E-2</v>
      </c>
      <c r="F2208">
        <v>374.36736817718986</v>
      </c>
    </row>
    <row r="2209" spans="1:6" x14ac:dyDescent="0.3">
      <c r="A2209">
        <v>0.05</v>
      </c>
      <c r="B2209" t="s">
        <v>97</v>
      </c>
      <c r="C2209">
        <v>-0.7</v>
      </c>
      <c r="D2209">
        <v>-0.86730052769405308</v>
      </c>
      <c r="E2209">
        <v>6.9664011509399687E-2</v>
      </c>
      <c r="F2209">
        <v>382.55161969315338</v>
      </c>
    </row>
    <row r="2210" spans="1:6" x14ac:dyDescent="0.3">
      <c r="A2210">
        <v>0.05</v>
      </c>
      <c r="B2210" t="s">
        <v>97</v>
      </c>
      <c r="C2210">
        <v>-0.69</v>
      </c>
      <c r="D2210">
        <v>-0.84795575521896349</v>
      </c>
      <c r="E2210">
        <v>6.9300839731827463E-2</v>
      </c>
      <c r="F2210">
        <v>390.86969445683417</v>
      </c>
    </row>
    <row r="2211" spans="1:6" x14ac:dyDescent="0.3">
      <c r="A2211">
        <v>0.05</v>
      </c>
      <c r="B2211" t="s">
        <v>97</v>
      </c>
      <c r="C2211">
        <v>-0.68</v>
      </c>
      <c r="D2211">
        <v>-0.82911403830176633</v>
      </c>
      <c r="E2211">
        <v>6.8937154703670081E-2</v>
      </c>
      <c r="F2211">
        <v>399.33138536627456</v>
      </c>
    </row>
    <row r="2212" spans="1:6" x14ac:dyDescent="0.3">
      <c r="A2212">
        <v>0.05</v>
      </c>
      <c r="B2212" t="s">
        <v>97</v>
      </c>
      <c r="C2212">
        <v>-0.67</v>
      </c>
      <c r="D2212">
        <v>-0.81074312547513749</v>
      </c>
      <c r="E2212">
        <v>6.8572703066127408E-2</v>
      </c>
      <c r="F2212">
        <v>407.94668237583954</v>
      </c>
    </row>
    <row r="2213" spans="1:6" x14ac:dyDescent="0.3">
      <c r="A2213">
        <v>0.05</v>
      </c>
      <c r="B2213" t="s">
        <v>97</v>
      </c>
      <c r="C2213">
        <v>-0.66</v>
      </c>
      <c r="D2213">
        <v>-0.79281363187019105</v>
      </c>
      <c r="E2213">
        <v>6.8207180291648226E-2</v>
      </c>
      <c r="F2213">
        <v>416.7259144956372</v>
      </c>
    </row>
    <row r="2214" spans="1:6" x14ac:dyDescent="0.3">
      <c r="A2214">
        <v>0.05</v>
      </c>
      <c r="B2214" t="s">
        <v>97</v>
      </c>
      <c r="C2214">
        <v>-0.65</v>
      </c>
      <c r="D2214">
        <v>-0.7752987062055835</v>
      </c>
      <c r="E2214">
        <v>6.784035847655738E-2</v>
      </c>
      <c r="F2214">
        <v>425.67968408462161</v>
      </c>
    </row>
    <row r="2215" spans="1:6" x14ac:dyDescent="0.3">
      <c r="A2215">
        <v>0.05</v>
      </c>
      <c r="B2215" t="s">
        <v>97</v>
      </c>
      <c r="C2215">
        <v>-0.64</v>
      </c>
      <c r="D2215">
        <v>-0.7581737446840443</v>
      </c>
      <c r="E2215">
        <v>6.747197339154129E-2</v>
      </c>
      <c r="F2215">
        <v>434.81902400617548</v>
      </c>
    </row>
    <row r="2216" spans="1:6" x14ac:dyDescent="0.3">
      <c r="A2216">
        <v>0.05</v>
      </c>
      <c r="B2216" t="s">
        <v>97</v>
      </c>
      <c r="C2216">
        <v>-0.63</v>
      </c>
      <c r="D2216">
        <v>-0.74141614408126888</v>
      </c>
      <c r="E2216">
        <v>6.7101775233978964E-2</v>
      </c>
      <c r="F2216">
        <v>444.15540456700711</v>
      </c>
    </row>
    <row r="2217" spans="1:6" x14ac:dyDescent="0.3">
      <c r="A2217">
        <v>0.05</v>
      </c>
      <c r="B2217" t="s">
        <v>97</v>
      </c>
      <c r="C2217">
        <v>-0.62</v>
      </c>
      <c r="D2217">
        <v>-0.72500508775299921</v>
      </c>
      <c r="E2217">
        <v>6.6729522632208618E-2</v>
      </c>
      <c r="F2217">
        <v>453.70079441583192</v>
      </c>
    </row>
    <row r="2218" spans="1:6" x14ac:dyDescent="0.3">
      <c r="A2218">
        <v>0.05</v>
      </c>
      <c r="B2218" t="s">
        <v>97</v>
      </c>
      <c r="C2218">
        <v>-0.61</v>
      </c>
      <c r="D2218">
        <v>-0.7089213594274083</v>
      </c>
      <c r="E2218">
        <v>6.6354961121766434E-2</v>
      </c>
      <c r="F2218">
        <v>463.46774259343726</v>
      </c>
    </row>
    <row r="2219" spans="1:6" x14ac:dyDescent="0.3">
      <c r="A2219">
        <v>0.05</v>
      </c>
      <c r="B2219" t="s">
        <v>97</v>
      </c>
      <c r="C2219">
        <v>-0.6</v>
      </c>
      <c r="D2219">
        <v>-0.69314718055994529</v>
      </c>
      <c r="E2219">
        <v>6.5977860362671684E-2</v>
      </c>
      <c r="F2219">
        <v>473.46940025599537</v>
      </c>
    </row>
    <row r="2220" spans="1:6" x14ac:dyDescent="0.3">
      <c r="A2220">
        <v>0.05</v>
      </c>
      <c r="B2220" t="s">
        <v>97</v>
      </c>
      <c r="C2220">
        <v>-0.59</v>
      </c>
      <c r="D2220">
        <v>-0.67766606775796179</v>
      </c>
      <c r="E2220">
        <v>6.5597998637363014E-2</v>
      </c>
      <c r="F2220">
        <v>483.71960142757439</v>
      </c>
    </row>
    <row r="2221" spans="1:6" x14ac:dyDescent="0.3">
      <c r="A2221">
        <v>0.05</v>
      </c>
      <c r="B2221" t="s">
        <v>97</v>
      </c>
      <c r="C2221">
        <v>-0.57999999999999996</v>
      </c>
      <c r="D2221">
        <v>-0.66246270737179924</v>
      </c>
      <c r="E2221">
        <v>6.5215098479025041E-2</v>
      </c>
      <c r="F2221">
        <v>494.23301239108292</v>
      </c>
    </row>
    <row r="2222" spans="1:6" x14ac:dyDescent="0.3">
      <c r="A2222">
        <v>0.05</v>
      </c>
      <c r="B2222" t="s">
        <v>97</v>
      </c>
      <c r="C2222">
        <v>-0.56999999999999995</v>
      </c>
      <c r="D2222">
        <v>-0.64752284482737277</v>
      </c>
      <c r="E2222">
        <v>6.4828952435855985E-2</v>
      </c>
      <c r="F2222">
        <v>505.02505863247262</v>
      </c>
    </row>
    <row r="2223" spans="1:6" x14ac:dyDescent="0.3">
      <c r="A2223">
        <v>0.05</v>
      </c>
      <c r="B2223" t="s">
        <v>97</v>
      </c>
      <c r="C2223">
        <v>-0.56000000000000005</v>
      </c>
      <c r="D2223">
        <v>-0.63283318666563804</v>
      </c>
      <c r="E2223">
        <v>6.4439318602140208E-2</v>
      </c>
      <c r="F2223">
        <v>516.1121322360334</v>
      </c>
    </row>
    <row r="2224" spans="1:6" x14ac:dyDescent="0.3">
      <c r="A2224">
        <v>0.05</v>
      </c>
      <c r="B2224" t="s">
        <v>97</v>
      </c>
      <c r="C2224">
        <v>-0.55000000000000004</v>
      </c>
      <c r="D2224">
        <v>-0.61838131357446346</v>
      </c>
      <c r="E2224">
        <v>6.4045924572527002E-2</v>
      </c>
      <c r="F2224">
        <v>527.51168455649031</v>
      </c>
    </row>
    <row r="2225" spans="1:6" x14ac:dyDescent="0.3">
      <c r="A2225">
        <v>0.05</v>
      </c>
      <c r="B2225" t="s">
        <v>97</v>
      </c>
      <c r="C2225">
        <v>-0.54</v>
      </c>
      <c r="D2225">
        <v>-0.60415560296226711</v>
      </c>
      <c r="E2225">
        <v>6.3648538735487661E-2</v>
      </c>
      <c r="F2225">
        <v>539.24223162522412</v>
      </c>
    </row>
    <row r="2226" spans="1:6" x14ac:dyDescent="0.3">
      <c r="A2226">
        <v>0.05</v>
      </c>
      <c r="B2226" t="s">
        <v>97</v>
      </c>
      <c r="C2226">
        <v>-0.53</v>
      </c>
      <c r="D2226">
        <v>-0.59014515984118854</v>
      </c>
      <c r="E2226">
        <v>6.3246911869215883E-2</v>
      </c>
      <c r="F2226">
        <v>551.32353959181103</v>
      </c>
    </row>
    <row r="2227" spans="1:6" x14ac:dyDescent="0.3">
      <c r="A2227">
        <v>0.05</v>
      </c>
      <c r="B2227" t="s">
        <v>97</v>
      </c>
      <c r="C2227">
        <v>-0.52</v>
      </c>
      <c r="D2227">
        <v>-0.57633975496919276</v>
      </c>
      <c r="E2227">
        <v>6.2840766024758132E-2</v>
      </c>
      <c r="F2227">
        <v>563.77676621309956</v>
      </c>
    </row>
    <row r="2228" spans="1:6" x14ac:dyDescent="0.3">
      <c r="A2228">
        <v>0.05</v>
      </c>
      <c r="B2228" t="s">
        <v>97</v>
      </c>
      <c r="C2228">
        <v>-0.51</v>
      </c>
      <c r="D2228">
        <v>-0.56272976935214891</v>
      </c>
      <c r="E2228">
        <v>6.2429861294147598E-2</v>
      </c>
      <c r="F2228">
        <v>576.62449646288258</v>
      </c>
    </row>
    <row r="2229" spans="1:6" x14ac:dyDescent="0.3">
      <c r="A2229">
        <v>0.05</v>
      </c>
      <c r="B2229" t="s">
        <v>97</v>
      </c>
      <c r="C2229">
        <v>-0.5</v>
      </c>
      <c r="D2229">
        <v>-0.54930614433405489</v>
      </c>
      <c r="E2229">
        <v>6.201389274009441E-2</v>
      </c>
      <c r="F2229">
        <v>589.89104826308164</v>
      </c>
    </row>
    <row r="2230" spans="1:6" x14ac:dyDescent="0.3">
      <c r="A2230">
        <v>0.05</v>
      </c>
      <c r="B2230" t="s">
        <v>97</v>
      </c>
      <c r="C2230">
        <v>-0.49</v>
      </c>
      <c r="D2230">
        <v>-0.53606033661056662</v>
      </c>
      <c r="E2230">
        <v>6.1592611189139133E-2</v>
      </c>
      <c r="F2230">
        <v>603.60245114354257</v>
      </c>
    </row>
    <row r="2231" spans="1:6" x14ac:dyDescent="0.3">
      <c r="A2231">
        <v>0.05</v>
      </c>
      <c r="B2231" t="s">
        <v>97</v>
      </c>
      <c r="C2231">
        <v>-0.48</v>
      </c>
      <c r="D2231">
        <v>-0.5229842775913438</v>
      </c>
      <c r="E2231">
        <v>6.1165698545582362E-2</v>
      </c>
      <c r="F2231">
        <v>617.78683225458519</v>
      </c>
    </row>
    <row r="2232" spans="1:6" x14ac:dyDescent="0.3">
      <c r="A2232">
        <v>0.05</v>
      </c>
      <c r="B2232" t="s">
        <v>97</v>
      </c>
      <c r="C2232">
        <v>-0.47</v>
      </c>
      <c r="D2232">
        <v>-0.51007033661330725</v>
      </c>
      <c r="E2232">
        <v>6.0732864343480165E-2</v>
      </c>
      <c r="F2232">
        <v>632.47446769710689</v>
      </c>
    </row>
    <row r="2233" spans="1:6" x14ac:dyDescent="0.3">
      <c r="A2233">
        <v>0.05</v>
      </c>
      <c r="B2233" t="s">
        <v>97</v>
      </c>
      <c r="C2233">
        <v>-0.46</v>
      </c>
      <c r="D2233">
        <v>-0.49731128757203097</v>
      </c>
      <c r="E2233">
        <v>6.029379839873724E-2</v>
      </c>
      <c r="F2233">
        <v>647.69809421745163</v>
      </c>
    </row>
    <row r="2234" spans="1:6" x14ac:dyDescent="0.3">
      <c r="A2234">
        <v>0.05</v>
      </c>
      <c r="B2234" t="s">
        <v>97</v>
      </c>
      <c r="C2234">
        <v>-0.45</v>
      </c>
      <c r="D2234">
        <v>-0.48470027859405168</v>
      </c>
      <c r="E2234">
        <v>5.9848157379781025E-2</v>
      </c>
      <c r="F2234">
        <v>663.49320242360557</v>
      </c>
    </row>
    <row r="2235" spans="1:6" x14ac:dyDescent="0.3">
      <c r="A2235">
        <v>0.05</v>
      </c>
      <c r="B2235" t="s">
        <v>97</v>
      </c>
      <c r="C2235">
        <v>-0.44</v>
      </c>
      <c r="D2235">
        <v>-0.47223080442042559</v>
      </c>
      <c r="E2235">
        <v>5.9395625182622307E-2</v>
      </c>
      <c r="F2235">
        <v>679.89821946032305</v>
      </c>
    </row>
    <row r="2236" spans="1:6" x14ac:dyDescent="0.3">
      <c r="A2236">
        <v>0.05</v>
      </c>
      <c r="B2236" t="s">
        <v>97</v>
      </c>
      <c r="C2236">
        <v>-0.43</v>
      </c>
      <c r="D2236">
        <v>-0.45989668121267852</v>
      </c>
      <c r="E2236">
        <v>5.8935824727097692E-2</v>
      </c>
      <c r="F2236">
        <v>696.95501878176594</v>
      </c>
    </row>
    <row r="2237" spans="1:6" x14ac:dyDescent="0.3">
      <c r="A2237">
        <v>0.05</v>
      </c>
      <c r="B2237" t="s">
        <v>97</v>
      </c>
      <c r="C2237">
        <v>-0.42</v>
      </c>
      <c r="D2237">
        <v>-0.4476920235274206</v>
      </c>
      <c r="E2237">
        <v>5.8468388539093814E-2</v>
      </c>
      <c r="F2237">
        <v>714.70916674958517</v>
      </c>
    </row>
    <row r="2238" spans="1:6" x14ac:dyDescent="0.3">
      <c r="A2238">
        <v>0.05</v>
      </c>
      <c r="B2238" t="s">
        <v>97</v>
      </c>
      <c r="C2238">
        <v>-0.41</v>
      </c>
      <c r="D2238">
        <v>-0.43561122323622431</v>
      </c>
      <c r="E2238">
        <v>5.7992923651355166E-2</v>
      </c>
      <c r="F2238">
        <v>733.21043060508282</v>
      </c>
    </row>
    <row r="2239" spans="1:6" x14ac:dyDescent="0.3">
      <c r="A2239">
        <v>0.05</v>
      </c>
      <c r="B2239" t="s">
        <v>97</v>
      </c>
      <c r="C2239">
        <v>-0.4</v>
      </c>
      <c r="D2239">
        <v>-0.42364893019360178</v>
      </c>
      <c r="E2239">
        <v>5.7509028829171562E-2</v>
      </c>
      <c r="F2239">
        <v>752.51324102882541</v>
      </c>
    </row>
    <row r="2240" spans="1:6" x14ac:dyDescent="0.3">
      <c r="A2240">
        <v>0.05</v>
      </c>
      <c r="B2240" t="s">
        <v>97</v>
      </c>
      <c r="C2240">
        <v>-0.39</v>
      </c>
      <c r="D2240">
        <v>-0.41180003447869035</v>
      </c>
      <c r="E2240">
        <v>5.7016250801663525E-2</v>
      </c>
      <c r="F2240">
        <v>772.67737083946417</v>
      </c>
    </row>
    <row r="2241" spans="1:6" x14ac:dyDescent="0.3">
      <c r="A2241">
        <v>0.05</v>
      </c>
      <c r="B2241" t="s">
        <v>97</v>
      </c>
      <c r="C2241">
        <v>-0.38</v>
      </c>
      <c r="D2241">
        <v>-0.40005965005605654</v>
      </c>
      <c r="E2241">
        <v>5.6514127229859275E-2</v>
      </c>
      <c r="F2241">
        <v>793.76849949443556</v>
      </c>
    </row>
    <row r="2242" spans="1:6" x14ac:dyDescent="0.3">
      <c r="A2242">
        <v>0.05</v>
      </c>
      <c r="B2242" t="s">
        <v>97</v>
      </c>
      <c r="C2242">
        <v>-0.37</v>
      </c>
      <c r="D2242">
        <v>-0.38842309971829614</v>
      </c>
      <c r="E2242">
        <v>5.600219307943554E-2</v>
      </c>
      <c r="F2242">
        <v>815.85895176825693</v>
      </c>
    </row>
    <row r="2243" spans="1:6" x14ac:dyDescent="0.3">
      <c r="A2243">
        <v>0.05</v>
      </c>
      <c r="B2243" t="s">
        <v>97</v>
      </c>
      <c r="C2243">
        <v>-0.36</v>
      </c>
      <c r="D2243">
        <v>-0.37688590118819004</v>
      </c>
      <c r="E2243">
        <v>5.5479918444197446E-2</v>
      </c>
      <c r="F2243">
        <v>839.02874783191135</v>
      </c>
    </row>
    <row r="2244" spans="1:6" x14ac:dyDescent="0.3">
      <c r="A2244">
        <v>0.05</v>
      </c>
      <c r="B2244" t="s">
        <v>97</v>
      </c>
      <c r="C2244">
        <v>-0.35</v>
      </c>
      <c r="D2244">
        <v>-0.36544375427139619</v>
      </c>
      <c r="E2244">
        <v>5.4946736795966067E-2</v>
      </c>
      <c r="F2244">
        <v>863.3665718349896</v>
      </c>
    </row>
    <row r="2245" spans="1:6" x14ac:dyDescent="0.3">
      <c r="A2245">
        <v>0.05</v>
      </c>
      <c r="B2245" t="s">
        <v>97</v>
      </c>
      <c r="C2245">
        <v>-0.34</v>
      </c>
      <c r="D2245">
        <v>-0.35409252896224297</v>
      </c>
      <c r="E2245">
        <v>5.4402095937320448E-2</v>
      </c>
      <c r="F2245">
        <v>888.97081970025954</v>
      </c>
    </row>
    <row r="2246" spans="1:6" x14ac:dyDescent="0.3">
      <c r="A2246">
        <v>0.05</v>
      </c>
      <c r="B2246" t="s">
        <v>97</v>
      </c>
      <c r="C2246">
        <v>-0.33</v>
      </c>
      <c r="D2246">
        <v>-0.34282825441539394</v>
      </c>
      <c r="E2246">
        <v>5.3845330655692539E-2</v>
      </c>
      <c r="F2246">
        <v>915.9514003221276</v>
      </c>
    </row>
    <row r="2247" spans="1:6" x14ac:dyDescent="0.3">
      <c r="A2247">
        <v>0.05</v>
      </c>
      <c r="B2247" t="s">
        <v>97</v>
      </c>
      <c r="C2247">
        <v>-0.32</v>
      </c>
      <c r="D2247">
        <v>-0.3316471087051322</v>
      </c>
      <c r="E2247">
        <v>5.3275806035980991E-2</v>
      </c>
      <c r="F2247">
        <v>944.43095988060929</v>
      </c>
    </row>
    <row r="2248" spans="1:6" x14ac:dyDescent="0.3">
      <c r="A2248">
        <v>0.05</v>
      </c>
      <c r="B2248" t="s">
        <v>97</v>
      </c>
      <c r="C2248">
        <v>-0.31</v>
      </c>
      <c r="D2248">
        <v>-0.32054540930194608</v>
      </c>
      <c r="E2248">
        <v>5.2692773439361226E-2</v>
      </c>
      <c r="F2248">
        <v>974.5473263514084</v>
      </c>
    </row>
    <row r="2249" spans="1:6" x14ac:dyDescent="0.3">
      <c r="A2249">
        <v>0.05</v>
      </c>
      <c r="B2249" t="s">
        <v>97</v>
      </c>
      <c r="C2249">
        <v>-0.3</v>
      </c>
      <c r="D2249">
        <v>-0.30951960420311175</v>
      </c>
      <c r="E2249">
        <v>5.209547494917216E-2</v>
      </c>
      <c r="F2249">
        <v>1006.4555150829958</v>
      </c>
    </row>
    <row r="2250" spans="1:6" x14ac:dyDescent="0.3">
      <c r="A2250">
        <v>0.05</v>
      </c>
      <c r="B2250" t="s">
        <v>97</v>
      </c>
      <c r="C2250">
        <v>-0.28999999999999998</v>
      </c>
      <c r="D2250">
        <v>-0.29856626366017835</v>
      </c>
      <c r="E2250">
        <v>5.1483059233407791E-2</v>
      </c>
      <c r="F2250">
        <v>1040.3308475097799</v>
      </c>
    </row>
    <row r="2251" spans="1:6" x14ac:dyDescent="0.3">
      <c r="A2251">
        <v>0.05</v>
      </c>
      <c r="B2251" t="s">
        <v>97</v>
      </c>
      <c r="C2251">
        <v>-0.28000000000000003</v>
      </c>
      <c r="D2251">
        <v>-0.2876820724517809</v>
      </c>
      <c r="E2251">
        <v>5.0854629496492151E-2</v>
      </c>
      <c r="F2251">
        <v>1076.3721683581587</v>
      </c>
    </row>
    <row r="2252" spans="1:6" x14ac:dyDescent="0.3">
      <c r="A2252">
        <v>0.05</v>
      </c>
      <c r="B2252" t="s">
        <v>97</v>
      </c>
      <c r="C2252">
        <v>-0.27</v>
      </c>
      <c r="D2252">
        <v>-0.27686382265510007</v>
      </c>
      <c r="E2252">
        <v>5.0209199227147658E-2</v>
      </c>
      <c r="F2252">
        <v>1114.8061312954303</v>
      </c>
    </row>
    <row r="2253" spans="1:6" x14ac:dyDescent="0.3">
      <c r="A2253">
        <v>0.05</v>
      </c>
      <c r="B2253" t="s">
        <v>97</v>
      </c>
      <c r="C2253">
        <v>-0.26</v>
      </c>
      <c r="D2253">
        <v>-0.26610840687365411</v>
      </c>
      <c r="E2253">
        <v>4.9545686477473497E-2</v>
      </c>
      <c r="F2253">
        <v>1155.8922514496301</v>
      </c>
    </row>
    <row r="2254" spans="1:6" x14ac:dyDescent="0.3">
      <c r="A2254">
        <v>0.05</v>
      </c>
      <c r="B2254" t="s">
        <v>97</v>
      </c>
      <c r="C2254">
        <v>-0.25</v>
      </c>
      <c r="D2254">
        <v>-0.25541281188299536</v>
      </c>
      <c r="E2254">
        <v>4.8862944407993637E-2</v>
      </c>
      <c r="F2254">
        <v>1199.928905986206</v>
      </c>
    </row>
    <row r="2255" spans="1:6" x14ac:dyDescent="0.3">
      <c r="A2255">
        <v>0.05</v>
      </c>
      <c r="B2255" t="s">
        <v>97</v>
      </c>
      <c r="C2255">
        <v>-0.24</v>
      </c>
      <c r="D2255">
        <v>-0.24477411265935289</v>
      </c>
      <c r="E2255">
        <v>4.8159685505149361E-2</v>
      </c>
      <c r="F2255">
        <v>1247.2613076651094</v>
      </c>
    </row>
    <row r="2256" spans="1:6" x14ac:dyDescent="0.3">
      <c r="A2256">
        <v>0.05</v>
      </c>
      <c r="B2256" t="s">
        <v>97</v>
      </c>
      <c r="C2256">
        <v>-0.23</v>
      </c>
      <c r="D2256">
        <v>-0.23418946675936678</v>
      </c>
      <c r="E2256">
        <v>4.7434497428599592E-2</v>
      </c>
      <c r="F2256">
        <v>1298.2909362767798</v>
      </c>
    </row>
    <row r="2257" spans="1:6" x14ac:dyDescent="0.3">
      <c r="A2257">
        <v>0.05</v>
      </c>
      <c r="B2257" t="s">
        <v>97</v>
      </c>
      <c r="C2257">
        <v>-0.22</v>
      </c>
      <c r="D2257">
        <v>-0.22365610902183239</v>
      </c>
      <c r="E2257">
        <v>4.6685824306370131E-2</v>
      </c>
      <c r="F2257">
        <v>1353.4875735801386</v>
      </c>
    </row>
    <row r="2258" spans="1:6" x14ac:dyDescent="0.3">
      <c r="A2258">
        <v>0.05</v>
      </c>
      <c r="B2258" t="s">
        <v>97</v>
      </c>
      <c r="C2258">
        <v>-0.21</v>
      </c>
      <c r="D2258">
        <v>-0.21317134656485975</v>
      </c>
      <c r="E2258">
        <v>4.5911949848193419E-2</v>
      </c>
      <c r="F2258">
        <v>1413.4045413702183</v>
      </c>
    </row>
    <row r="2259" spans="1:6" x14ac:dyDescent="0.3">
      <c r="A2259">
        <v>0.05</v>
      </c>
      <c r="B2259" t="s">
        <v>97</v>
      </c>
      <c r="C2259">
        <v>-0.2</v>
      </c>
      <c r="D2259">
        <v>-0.20273255405408214</v>
      </c>
      <c r="E2259">
        <v>4.5110931512750578E-2</v>
      </c>
      <c r="F2259">
        <v>1478.6985707002339</v>
      </c>
    </row>
    <row r="2260" spans="1:6" x14ac:dyDescent="0.3">
      <c r="A2260">
        <v>0.05</v>
      </c>
      <c r="B2260" t="s">
        <v>97</v>
      </c>
      <c r="C2260">
        <v>-0.19</v>
      </c>
      <c r="D2260">
        <v>-0.1923371692195453</v>
      </c>
      <c r="E2260">
        <v>4.4280623115641113E-2</v>
      </c>
      <c r="F2260">
        <v>1550.1548477189867</v>
      </c>
    </row>
    <row r="2261" spans="1:6" x14ac:dyDescent="0.3">
      <c r="A2261">
        <v>0.05</v>
      </c>
      <c r="B2261" t="s">
        <v>97</v>
      </c>
      <c r="C2261">
        <v>-0.18</v>
      </c>
      <c r="D2261">
        <v>-0.18198268860070579</v>
      </c>
      <c r="E2261">
        <v>4.3418597712748745E-2</v>
      </c>
      <c r="F2261">
        <v>1628.7206199983718</v>
      </c>
    </row>
    <row r="2262" spans="1:6" x14ac:dyDescent="0.3">
      <c r="A2262">
        <v>0.05</v>
      </c>
      <c r="B2262" t="s">
        <v>97</v>
      </c>
      <c r="C2262">
        <v>-0.17</v>
      </c>
      <c r="D2262">
        <v>-0.17166666350057908</v>
      </c>
      <c r="E2262">
        <v>4.2522092461125274E-2</v>
      </c>
      <c r="F2262">
        <v>1715.5496501935513</v>
      </c>
    </row>
    <row r="2263" spans="1:6" x14ac:dyDescent="0.3">
      <c r="A2263">
        <v>0.05</v>
      </c>
      <c r="B2263" t="s">
        <v>97</v>
      </c>
      <c r="C2263">
        <v>-0.16</v>
      </c>
      <c r="D2263">
        <v>-0.16138669613152551</v>
      </c>
      <c r="E2263">
        <v>4.1587974353857179E-2</v>
      </c>
      <c r="F2263">
        <v>1812.0618641218427</v>
      </c>
    </row>
    <row r="2264" spans="1:6" x14ac:dyDescent="0.3">
      <c r="A2264">
        <v>0.05</v>
      </c>
      <c r="B2264" t="s">
        <v>97</v>
      </c>
      <c r="C2264">
        <v>-0.15</v>
      </c>
      <c r="D2264">
        <v>-0.15114043593646675</v>
      </c>
      <c r="E2264">
        <v>4.0612612683055223E-2</v>
      </c>
      <c r="F2264">
        <v>1920.0260259880397</v>
      </c>
    </row>
    <row r="2265" spans="1:6" x14ac:dyDescent="0.3">
      <c r="A2265">
        <v>0.05</v>
      </c>
      <c r="B2265" t="s">
        <v>97</v>
      </c>
      <c r="C2265">
        <v>-0.14000000000000001</v>
      </c>
      <c r="D2265">
        <v>-0.14092557607049394</v>
      </c>
      <c r="E2265">
        <v>3.9591808635424677E-2</v>
      </c>
      <c r="F2265">
        <v>2041.6743173425291</v>
      </c>
    </row>
    <row r="2266" spans="1:6" x14ac:dyDescent="0.3">
      <c r="A2266">
        <v>0.05</v>
      </c>
      <c r="B2266" t="s">
        <v>97</v>
      </c>
      <c r="C2266">
        <v>-0.13</v>
      </c>
      <c r="D2266">
        <v>-0.13073985002887836</v>
      </c>
      <c r="E2266">
        <v>3.8520620309133016E-2</v>
      </c>
      <c r="F2266">
        <v>2179.8667243357163</v>
      </c>
    </row>
    <row r="2267" spans="1:6" x14ac:dyDescent="0.3">
      <c r="A2267">
        <v>0.05</v>
      </c>
      <c r="B2267" t="s">
        <v>97</v>
      </c>
      <c r="C2267">
        <v>-0.12</v>
      </c>
      <c r="D2267">
        <v>-0.12058102840844405</v>
      </c>
      <c r="E2267">
        <v>3.7393200453560302E-2</v>
      </c>
      <c r="F2267">
        <v>2338.3301691188558</v>
      </c>
    </row>
    <row r="2268" spans="1:6" x14ac:dyDescent="0.3">
      <c r="A2268">
        <v>0.05</v>
      </c>
      <c r="B2268" t="s">
        <v>97</v>
      </c>
      <c r="C2268">
        <v>-0.11</v>
      </c>
      <c r="D2268">
        <v>-0.1104469157900972</v>
      </c>
      <c r="E2268">
        <v>3.6202522525142888E-2</v>
      </c>
      <c r="F2268">
        <v>2522.0177756912922</v>
      </c>
    </row>
    <row r="2269" spans="1:6" x14ac:dyDescent="0.3">
      <c r="A2269">
        <v>0.05</v>
      </c>
      <c r="B2269" t="s">
        <v>97</v>
      </c>
      <c r="C2269">
        <v>-0.1</v>
      </c>
      <c r="D2269">
        <v>-0.10033534773107562</v>
      </c>
      <c r="E2269">
        <v>3.4940003483682369E-2</v>
      </c>
      <c r="F2269">
        <v>2737.6644930828834</v>
      </c>
    </row>
    <row r="2270" spans="1:6" x14ac:dyDescent="0.3">
      <c r="A2270">
        <v>0.05</v>
      </c>
      <c r="B2270" t="s">
        <v>97</v>
      </c>
      <c r="C2270">
        <v>-0.09</v>
      </c>
      <c r="D2270">
        <v>-9.0244187856146837E-2</v>
      </c>
      <c r="E2270">
        <v>3.3594940239105579E-2</v>
      </c>
      <c r="F2270">
        <v>2994.6785713164595</v>
      </c>
    </row>
    <row r="2271" spans="1:6" x14ac:dyDescent="0.3">
      <c r="A2271">
        <v>0.05</v>
      </c>
      <c r="B2271" t="s">
        <v>97</v>
      </c>
      <c r="C2271">
        <v>-0.08</v>
      </c>
      <c r="D2271">
        <v>-8.0171325037589683E-2</v>
      </c>
      <c r="E2271">
        <v>3.215375931504922E-2</v>
      </c>
      <c r="F2271">
        <v>3306.6310143227065</v>
      </c>
    </row>
    <row r="2272" spans="1:6" x14ac:dyDescent="0.3">
      <c r="A2272">
        <v>0.05</v>
      </c>
      <c r="B2272" t="s">
        <v>97</v>
      </c>
      <c r="C2272">
        <v>-7.0000000000000007E-2</v>
      </c>
      <c r="D2272">
        <v>-7.0114670654325195E-2</v>
      </c>
      <c r="E2272">
        <v>3.0598736713616254E-2</v>
      </c>
      <c r="F2272">
        <v>3693.8819925787429</v>
      </c>
    </row>
    <row r="2273" spans="1:6" x14ac:dyDescent="0.3">
      <c r="A2273">
        <v>0.05</v>
      </c>
      <c r="B2273" t="s">
        <v>97</v>
      </c>
      <c r="C2273">
        <v>-0.06</v>
      </c>
      <c r="D2273">
        <v>-6.007215592103167E-2</v>
      </c>
      <c r="E2273">
        <v>2.8905918070446675E-2</v>
      </c>
      <c r="F2273">
        <v>4188.5113989344809</v>
      </c>
    </row>
    <row r="2274" spans="1:6" x14ac:dyDescent="0.3">
      <c r="A2274">
        <v>0.05</v>
      </c>
      <c r="B2274" t="s">
        <v>97</v>
      </c>
      <c r="C2274">
        <v>-0.05</v>
      </c>
      <c r="D2274">
        <v>-5.0041729278491327E-2</v>
      </c>
      <c r="E2274">
        <v>2.704143765450652E-2</v>
      </c>
      <c r="F2274">
        <v>4844.3541338061104</v>
      </c>
    </row>
    <row r="2275" spans="1:6" x14ac:dyDescent="0.3">
      <c r="A2275">
        <v>0.05</v>
      </c>
      <c r="B2275" t="s">
        <v>97</v>
      </c>
      <c r="C2275">
        <v>-0.04</v>
      </c>
      <c r="D2275">
        <v>-4.0021353836768248E-2</v>
      </c>
      <c r="E2275">
        <v>2.4954664349786562E-2</v>
      </c>
      <c r="F2275">
        <v>5759.687927621887</v>
      </c>
    </row>
    <row r="2276" spans="1:6" x14ac:dyDescent="0.3">
      <c r="A2276">
        <v>0.05</v>
      </c>
      <c r="B2276" t="s">
        <v>97</v>
      </c>
      <c r="C2276">
        <v>-0.03</v>
      </c>
      <c r="D2276">
        <v>-3.000900486312652E-2</v>
      </c>
      <c r="E2276">
        <v>2.2563126702432903E-2</v>
      </c>
      <c r="F2276">
        <v>7136.6649632041454</v>
      </c>
    </row>
    <row r="2277" spans="1:6" x14ac:dyDescent="0.3">
      <c r="A2277">
        <v>0.05</v>
      </c>
      <c r="B2277" t="s">
        <v>97</v>
      </c>
      <c r="C2277">
        <v>-0.02</v>
      </c>
      <c r="D2277">
        <v>-2.0002667306849624E-2</v>
      </c>
      <c r="E2277">
        <v>1.9714102344766435E-2</v>
      </c>
      <c r="F2277">
        <v>9475.2147426771116</v>
      </c>
    </row>
    <row r="2278" spans="1:6" x14ac:dyDescent="0.3">
      <c r="A2278">
        <v>0.05</v>
      </c>
      <c r="B2278" t="s">
        <v>97</v>
      </c>
      <c r="C2278">
        <v>-0.01</v>
      </c>
      <c r="D2278">
        <v>-1.0000333353334771E-2</v>
      </c>
      <c r="E2278">
        <v>1.6050704288017272E-2</v>
      </c>
      <c r="F2278">
        <v>14502.042081355108</v>
      </c>
    </row>
    <row r="2279" spans="1:6" x14ac:dyDescent="0.3">
      <c r="A2279">
        <v>0.01</v>
      </c>
      <c r="B2279" t="s">
        <v>97</v>
      </c>
      <c r="C2279">
        <v>-0.99</v>
      </c>
      <c r="D2279">
        <v>-2.6466524123622457</v>
      </c>
      <c r="E2279">
        <v>0.11139321990205341</v>
      </c>
      <c r="F2279">
        <v>125.70789526933929</v>
      </c>
    </row>
    <row r="2280" spans="1:6" x14ac:dyDescent="0.3">
      <c r="A2280">
        <v>0.01</v>
      </c>
      <c r="B2280" t="s">
        <v>97</v>
      </c>
      <c r="C2280">
        <v>-0.98</v>
      </c>
      <c r="D2280">
        <v>-2.2975599250672945</v>
      </c>
      <c r="E2280">
        <v>0.10954386596973838</v>
      </c>
      <c r="F2280">
        <v>143.91453375424541</v>
      </c>
    </row>
    <row r="2281" spans="1:6" x14ac:dyDescent="0.3">
      <c r="A2281">
        <v>0.01</v>
      </c>
      <c r="B2281" t="s">
        <v>97</v>
      </c>
      <c r="C2281">
        <v>-0.97</v>
      </c>
      <c r="D2281">
        <v>-2.0922957200349388</v>
      </c>
      <c r="E2281">
        <v>0.10823305809236786</v>
      </c>
      <c r="F2281">
        <v>157.38832912999155</v>
      </c>
    </row>
    <row r="2282" spans="1:6" x14ac:dyDescent="0.3">
      <c r="A2282">
        <v>0.01</v>
      </c>
      <c r="B2282" t="s">
        <v>97</v>
      </c>
      <c r="C2282">
        <v>-0.96</v>
      </c>
      <c r="D2282">
        <v>-1.9459101490553128</v>
      </c>
      <c r="E2282">
        <v>0.10716913154422583</v>
      </c>
      <c r="F2282">
        <v>168.6898017576963</v>
      </c>
    </row>
    <row r="2283" spans="1:6" x14ac:dyDescent="0.3">
      <c r="A2283">
        <v>0.01</v>
      </c>
      <c r="B2283" t="s">
        <v>97</v>
      </c>
      <c r="C2283">
        <v>-0.95</v>
      </c>
      <c r="D2283">
        <v>-1.8317808230648227</v>
      </c>
      <c r="E2283">
        <v>0.10625062117478715</v>
      </c>
      <c r="F2283">
        <v>178.7209493580722</v>
      </c>
    </row>
    <row r="2284" spans="1:6" x14ac:dyDescent="0.3">
      <c r="A2284">
        <v>0.01</v>
      </c>
      <c r="B2284" t="s">
        <v>97</v>
      </c>
      <c r="C2284">
        <v>-0.94</v>
      </c>
      <c r="D2284">
        <v>-1.7380493449176362</v>
      </c>
      <c r="E2284">
        <v>0.10542896613768911</v>
      </c>
      <c r="F2284">
        <v>187.9174167651131</v>
      </c>
    </row>
    <row r="2285" spans="1:6" x14ac:dyDescent="0.3">
      <c r="A2285">
        <v>0.01</v>
      </c>
      <c r="B2285" t="s">
        <v>97</v>
      </c>
      <c r="C2285">
        <v>-0.93</v>
      </c>
      <c r="D2285">
        <v>-1.6583900199247865</v>
      </c>
      <c r="E2285">
        <v>0.10467676241578794</v>
      </c>
      <c r="F2285">
        <v>196.52707367291165</v>
      </c>
    </row>
    <row r="2286" spans="1:6" x14ac:dyDescent="0.3">
      <c r="A2286">
        <v>0.01</v>
      </c>
      <c r="B2286" t="s">
        <v>97</v>
      </c>
      <c r="C2286">
        <v>-0.92</v>
      </c>
      <c r="D2286">
        <v>-1.5890269151739731</v>
      </c>
      <c r="E2286">
        <v>0.10397687644193304</v>
      </c>
      <c r="F2286">
        <v>204.7062866537218</v>
      </c>
    </row>
    <row r="2287" spans="1:6" x14ac:dyDescent="0.3">
      <c r="A2287">
        <v>0.01</v>
      </c>
      <c r="B2287" t="s">
        <v>97</v>
      </c>
      <c r="C2287">
        <v>-0.91</v>
      </c>
      <c r="D2287">
        <v>-1.5275244253552054</v>
      </c>
      <c r="E2287">
        <v>0.10331780056170349</v>
      </c>
      <c r="F2287">
        <v>212.56107336994052</v>
      </c>
    </row>
    <row r="2288" spans="1:6" x14ac:dyDescent="0.3">
      <c r="A2288">
        <v>0.01</v>
      </c>
      <c r="B2288" t="s">
        <v>97</v>
      </c>
      <c r="C2288">
        <v>-0.9</v>
      </c>
      <c r="D2288">
        <v>-1.4722194895832204</v>
      </c>
      <c r="E2288">
        <v>0.10269137718104836</v>
      </c>
      <c r="F2288">
        <v>220.16729562968564</v>
      </c>
    </row>
    <row r="2289" spans="1:6" x14ac:dyDescent="0.3">
      <c r="A2289">
        <v>0.01</v>
      </c>
      <c r="B2289" t="s">
        <v>97</v>
      </c>
      <c r="C2289">
        <v>-0.89</v>
      </c>
      <c r="D2289">
        <v>-1.421925871130636</v>
      </c>
      <c r="E2289">
        <v>0.10209160130844346</v>
      </c>
      <c r="F2289">
        <v>227.58157313953973</v>
      </c>
    </row>
    <row r="2290" spans="1:6" x14ac:dyDescent="0.3">
      <c r="A2290">
        <v>0.01</v>
      </c>
      <c r="B2290" t="s">
        <v>97</v>
      </c>
      <c r="C2290">
        <v>-0.88</v>
      </c>
      <c r="D2290">
        <v>-1.3757676565209744</v>
      </c>
      <c r="E2290">
        <v>0.10151390614882903</v>
      </c>
      <c r="F2290">
        <v>234.8476453732267</v>
      </c>
    </row>
    <row r="2291" spans="1:6" x14ac:dyDescent="0.3">
      <c r="A2291">
        <v>0.01</v>
      </c>
      <c r="B2291" t="s">
        <v>97</v>
      </c>
      <c r="C2291">
        <v>-0.87</v>
      </c>
      <c r="D2291">
        <v>-1.333079629696525</v>
      </c>
      <c r="E2291">
        <v>0.1009546823611456</v>
      </c>
      <c r="F2291">
        <v>242.0003148299962</v>
      </c>
    </row>
    <row r="2292" spans="1:6" x14ac:dyDescent="0.3">
      <c r="A2292">
        <v>0.01</v>
      </c>
      <c r="B2292" t="s">
        <v>97</v>
      </c>
      <c r="C2292">
        <v>-0.86</v>
      </c>
      <c r="D2292">
        <v>-1.2933446720489712</v>
      </c>
      <c r="E2292">
        <v>0.10041109597924201</v>
      </c>
      <c r="F2292">
        <v>249.06793924400264</v>
      </c>
    </row>
    <row r="2293" spans="1:6" x14ac:dyDescent="0.3">
      <c r="A2293">
        <v>0.01</v>
      </c>
      <c r="B2293" t="s">
        <v>97</v>
      </c>
      <c r="C2293">
        <v>-0.85</v>
      </c>
      <c r="D2293">
        <v>-1.2561528119880574</v>
      </c>
      <c r="E2293">
        <v>9.9880799692009345E-2</v>
      </c>
      <c r="F2293">
        <v>256.07417807535239</v>
      </c>
    </row>
    <row r="2294" spans="1:6" x14ac:dyDescent="0.3">
      <c r="A2294">
        <v>0.01</v>
      </c>
      <c r="B2294" t="s">
        <v>97</v>
      </c>
      <c r="C2294">
        <v>-0.84</v>
      </c>
      <c r="D2294">
        <v>-1.2211735176846021</v>
      </c>
      <c r="E2294">
        <v>9.9361878122687528E-2</v>
      </c>
      <c r="F2294">
        <v>263.03913904565815</v>
      </c>
    </row>
    <row r="2295" spans="1:6" x14ac:dyDescent="0.3">
      <c r="A2295">
        <v>0.01</v>
      </c>
      <c r="B2295" t="s">
        <v>97</v>
      </c>
      <c r="C2295">
        <v>-0.83</v>
      </c>
      <c r="D2295">
        <v>-1.1881364043926024</v>
      </c>
      <c r="E2295">
        <v>9.8852696655063396E-2</v>
      </c>
      <c r="F2295">
        <v>269.98024862059833</v>
      </c>
    </row>
    <row r="2296" spans="1:6" x14ac:dyDescent="0.3">
      <c r="A2296">
        <v>0.01</v>
      </c>
      <c r="B2296" t="s">
        <v>97</v>
      </c>
      <c r="C2296">
        <v>-0.82</v>
      </c>
      <c r="D2296">
        <v>-1.1568174645903151</v>
      </c>
      <c r="E2296">
        <v>9.8351867104767107E-2</v>
      </c>
      <c r="F2296">
        <v>276.91285244368061</v>
      </c>
    </row>
    <row r="2297" spans="1:6" x14ac:dyDescent="0.3">
      <c r="A2297">
        <v>0.01</v>
      </c>
      <c r="B2297" t="s">
        <v>97</v>
      </c>
      <c r="C2297">
        <v>-0.81</v>
      </c>
      <c r="D2297">
        <v>-1.1270290260496929</v>
      </c>
      <c r="E2297">
        <v>9.7858203583719397E-2</v>
      </c>
      <c r="F2297">
        <v>283.85067179454251</v>
      </c>
    </row>
    <row r="2298" spans="1:6" x14ac:dyDescent="0.3">
      <c r="A2298">
        <v>0.01</v>
      </c>
      <c r="B2298" t="s">
        <v>97</v>
      </c>
      <c r="C2298">
        <v>-0.8</v>
      </c>
      <c r="D2298">
        <v>-1.0986122886681098</v>
      </c>
      <c r="E2298">
        <v>9.737067662504939E-2</v>
      </c>
      <c r="F2298">
        <v>290.80615812341352</v>
      </c>
    </row>
    <row r="2299" spans="1:6" x14ac:dyDescent="0.3">
      <c r="A2299">
        <v>0.01</v>
      </c>
      <c r="B2299" t="s">
        <v>97</v>
      </c>
      <c r="C2299">
        <v>-0.79</v>
      </c>
      <c r="D2299">
        <v>-1.0714316840586662</v>
      </c>
      <c r="E2299">
        <v>9.6888370465687851E-2</v>
      </c>
      <c r="F2299">
        <v>297.79077349223877</v>
      </c>
    </row>
    <row r="2300" spans="1:6" x14ac:dyDescent="0.3">
      <c r="A2300">
        <v>0.01</v>
      </c>
      <c r="B2300" t="s">
        <v>97</v>
      </c>
      <c r="C2300">
        <v>-0.78</v>
      </c>
      <c r="D2300">
        <v>-1.0453705484668847</v>
      </c>
      <c r="E2300">
        <v>9.6410462566247052E-2</v>
      </c>
      <c r="F2300">
        <v>304.81520561677905</v>
      </c>
    </row>
    <row r="2301" spans="1:6" x14ac:dyDescent="0.3">
      <c r="A2301">
        <v>0.01</v>
      </c>
      <c r="B2301" t="s">
        <v>97</v>
      </c>
      <c r="C2301">
        <v>-0.77</v>
      </c>
      <c r="D2301">
        <v>-1.0203277583223398</v>
      </c>
      <c r="E2301">
        <v>9.5936252630225219E-2</v>
      </c>
      <c r="F2301">
        <v>311.88951155354562</v>
      </c>
    </row>
    <row r="2302" spans="1:6" x14ac:dyDescent="0.3">
      <c r="A2302">
        <v>0.01</v>
      </c>
      <c r="B2302" t="s">
        <v>97</v>
      </c>
      <c r="C2302">
        <v>-0.76</v>
      </c>
      <c r="D2302">
        <v>-0.99621508234510314</v>
      </c>
      <c r="E2302">
        <v>9.5465052048114493E-2</v>
      </c>
      <c r="F2302">
        <v>319.02331935766745</v>
      </c>
    </row>
    <row r="2303" spans="1:6" x14ac:dyDescent="0.3">
      <c r="A2303">
        <v>0.01</v>
      </c>
      <c r="B2303" t="s">
        <v>97</v>
      </c>
      <c r="C2303">
        <v>-0.75</v>
      </c>
      <c r="D2303">
        <v>-0.97295507452765673</v>
      </c>
      <c r="E2303">
        <v>9.4996294247451749E-2</v>
      </c>
      <c r="F2303">
        <v>326.22586781976673</v>
      </c>
    </row>
    <row r="2304" spans="1:6" x14ac:dyDescent="0.3">
      <c r="A2304">
        <v>0.01</v>
      </c>
      <c r="B2304" t="s">
        <v>97</v>
      </c>
      <c r="C2304">
        <v>-0.74</v>
      </c>
      <c r="D2304">
        <v>-0.95047938059652348</v>
      </c>
      <c r="E2304">
        <v>9.4529428394561368E-2</v>
      </c>
      <c r="F2304">
        <v>333.50616771975893</v>
      </c>
    </row>
    <row r="2305" spans="1:6" x14ac:dyDescent="0.3">
      <c r="A2305">
        <v>0.01</v>
      </c>
      <c r="B2305" t="s">
        <v>97</v>
      </c>
      <c r="C2305">
        <v>-0.73</v>
      </c>
      <c r="D2305">
        <v>-0.92872736424672497</v>
      </c>
      <c r="E2305">
        <v>9.4063944988895559E-2</v>
      </c>
      <c r="F2305">
        <v>340.87306631929692</v>
      </c>
    </row>
    <row r="2306" spans="1:6" x14ac:dyDescent="0.3">
      <c r="A2306">
        <v>0.01</v>
      </c>
      <c r="B2306" t="s">
        <v>97</v>
      </c>
      <c r="C2306">
        <v>-0.72</v>
      </c>
      <c r="D2306">
        <v>-0.90764498331912458</v>
      </c>
      <c r="E2306">
        <v>9.3599380563559945E-2</v>
      </c>
      <c r="F2306">
        <v>348.33531360773662</v>
      </c>
    </row>
    <row r="2307" spans="1:6" x14ac:dyDescent="0.3">
      <c r="A2307">
        <v>0.01</v>
      </c>
      <c r="B2307" t="s">
        <v>97</v>
      </c>
      <c r="C2307">
        <v>-0.71</v>
      </c>
      <c r="D2307">
        <v>-0.88718386325809284</v>
      </c>
      <c r="E2307">
        <v>9.313529620717996E-2</v>
      </c>
      <c r="F2307">
        <v>355.90164005663246</v>
      </c>
    </row>
    <row r="2308" spans="1:6" x14ac:dyDescent="0.3">
      <c r="A2308">
        <v>0.01</v>
      </c>
      <c r="B2308" t="s">
        <v>97</v>
      </c>
      <c r="C2308">
        <v>-0.7</v>
      </c>
      <c r="D2308">
        <v>-0.86730052769405308</v>
      </c>
      <c r="E2308">
        <v>9.2671277173488234E-2</v>
      </c>
      <c r="F2308">
        <v>363.58081418743046</v>
      </c>
    </row>
    <row r="2309" spans="1:6" x14ac:dyDescent="0.3">
      <c r="A2309">
        <v>0.01</v>
      </c>
      <c r="B2309" t="s">
        <v>97</v>
      </c>
      <c r="C2309">
        <v>-0.69</v>
      </c>
      <c r="D2309">
        <v>-0.84795575521896349</v>
      </c>
      <c r="E2309">
        <v>9.2206929289152334E-2</v>
      </c>
      <c r="F2309">
        <v>371.38169822243333</v>
      </c>
    </row>
    <row r="2310" spans="1:6" x14ac:dyDescent="0.3">
      <c r="A2310">
        <v>0.01</v>
      </c>
      <c r="B2310" t="s">
        <v>97</v>
      </c>
      <c r="C2310">
        <v>-0.68</v>
      </c>
      <c r="D2310">
        <v>-0.82911403830176633</v>
      </c>
      <c r="E2310">
        <v>9.1741888526811782E-2</v>
      </c>
      <c r="F2310">
        <v>379.31328964998255</v>
      </c>
    </row>
    <row r="2311" spans="1:6" x14ac:dyDescent="0.3">
      <c r="A2311">
        <v>0.01</v>
      </c>
      <c r="B2311" t="s">
        <v>97</v>
      </c>
      <c r="C2311">
        <v>-0.67</v>
      </c>
      <c r="D2311">
        <v>-0.81074312547513749</v>
      </c>
      <c r="E2311">
        <v>9.1275793168012598E-2</v>
      </c>
      <c r="F2311">
        <v>387.38479198188389</v>
      </c>
    </row>
    <row r="2312" spans="1:6" x14ac:dyDescent="0.3">
      <c r="A2312">
        <v>0.01</v>
      </c>
      <c r="B2312" t="s">
        <v>97</v>
      </c>
      <c r="C2312">
        <v>-0.66</v>
      </c>
      <c r="D2312">
        <v>-0.79281363187019105</v>
      </c>
      <c r="E2312">
        <v>9.0808300255982743E-2</v>
      </c>
      <c r="F2312">
        <v>395.60564826789619</v>
      </c>
    </row>
    <row r="2313" spans="1:6" x14ac:dyDescent="0.3">
      <c r="A2313">
        <v>0.01</v>
      </c>
      <c r="B2313" t="s">
        <v>97</v>
      </c>
      <c r="C2313">
        <v>-0.65</v>
      </c>
      <c r="D2313">
        <v>-0.7752987062055835</v>
      </c>
      <c r="E2313">
        <v>9.0339081016845305E-2</v>
      </c>
      <c r="F2313">
        <v>403.98559112861517</v>
      </c>
    </row>
    <row r="2314" spans="1:6" x14ac:dyDescent="0.3">
      <c r="A2314">
        <v>0.01</v>
      </c>
      <c r="B2314" t="s">
        <v>97</v>
      </c>
      <c r="C2314">
        <v>-0.64</v>
      </c>
      <c r="D2314">
        <v>-0.7581737446840443</v>
      </c>
      <c r="E2314">
        <v>8.9867797920810802E-2</v>
      </c>
      <c r="F2314">
        <v>412.53471144991278</v>
      </c>
    </row>
    <row r="2315" spans="1:6" x14ac:dyDescent="0.3">
      <c r="A2315">
        <v>0.01</v>
      </c>
      <c r="B2315" t="s">
        <v>97</v>
      </c>
      <c r="C2315">
        <v>-0.63</v>
      </c>
      <c r="D2315">
        <v>-0.74141614408126888</v>
      </c>
      <c r="E2315">
        <v>8.9394152929329354E-2</v>
      </c>
      <c r="F2315">
        <v>421.26346090685939</v>
      </c>
    </row>
    <row r="2316" spans="1:6" x14ac:dyDescent="0.3">
      <c r="A2316">
        <v>0.01</v>
      </c>
      <c r="B2316" t="s">
        <v>97</v>
      </c>
      <c r="C2316">
        <v>-0.62</v>
      </c>
      <c r="D2316">
        <v>-0.72500508775299921</v>
      </c>
      <c r="E2316">
        <v>8.8917817536646307E-2</v>
      </c>
      <c r="F2316">
        <v>430.18276891686986</v>
      </c>
    </row>
    <row r="2317" spans="1:6" x14ac:dyDescent="0.3">
      <c r="A2317">
        <v>0.01</v>
      </c>
      <c r="B2317" t="s">
        <v>97</v>
      </c>
      <c r="C2317">
        <v>-0.61</v>
      </c>
      <c r="D2317">
        <v>-0.7089213594274083</v>
      </c>
      <c r="E2317">
        <v>8.8438485685302798E-2</v>
      </c>
      <c r="F2317">
        <v>439.30404417979088</v>
      </c>
    </row>
    <row r="2318" spans="1:6" x14ac:dyDescent="0.3">
      <c r="A2318">
        <v>0.01</v>
      </c>
      <c r="B2318" t="s">
        <v>97</v>
      </c>
      <c r="C2318">
        <v>-0.6</v>
      </c>
      <c r="D2318">
        <v>-0.69314718055994529</v>
      </c>
      <c r="E2318">
        <v>8.7955860089339311E-2</v>
      </c>
      <c r="F2318">
        <v>448.63924184117604</v>
      </c>
    </row>
    <row r="2319" spans="1:6" x14ac:dyDescent="0.3">
      <c r="A2319">
        <v>0.01</v>
      </c>
      <c r="B2319" t="s">
        <v>97</v>
      </c>
      <c r="C2319">
        <v>-0.59</v>
      </c>
      <c r="D2319">
        <v>-0.67766606775796179</v>
      </c>
      <c r="E2319">
        <v>8.7469612833308091E-2</v>
      </c>
      <c r="F2319">
        <v>458.20096570992837</v>
      </c>
    </row>
    <row r="2320" spans="1:6" x14ac:dyDescent="0.3">
      <c r="A2320">
        <v>0.01</v>
      </c>
      <c r="B2320" t="s">
        <v>97</v>
      </c>
      <c r="C2320">
        <v>-0.57999999999999996</v>
      </c>
      <c r="D2320">
        <v>-0.66246270737179924</v>
      </c>
      <c r="E2320">
        <v>8.69794530497464E-2</v>
      </c>
      <c r="F2320">
        <v>468.00245774680866</v>
      </c>
    </row>
    <row r="2321" spans="1:6" x14ac:dyDescent="0.3">
      <c r="A2321">
        <v>0.01</v>
      </c>
      <c r="B2321" t="s">
        <v>97</v>
      </c>
      <c r="C2321">
        <v>-0.56999999999999995</v>
      </c>
      <c r="D2321">
        <v>-0.64752284482737277</v>
      </c>
      <c r="E2321">
        <v>8.6485071248001769E-2</v>
      </c>
      <c r="F2321">
        <v>478.05772649134252</v>
      </c>
    </row>
    <row r="2322" spans="1:6" x14ac:dyDescent="0.3">
      <c r="A2322">
        <v>0.01</v>
      </c>
      <c r="B2322" t="s">
        <v>97</v>
      </c>
      <c r="C2322">
        <v>-0.56000000000000005</v>
      </c>
      <c r="D2322">
        <v>-0.63283318666563804</v>
      </c>
      <c r="E2322">
        <v>8.5986143528929443E-2</v>
      </c>
      <c r="F2322">
        <v>488.38161872084589</v>
      </c>
    </row>
    <row r="2323" spans="1:6" x14ac:dyDescent="0.3">
      <c r="A2323">
        <v>0.01</v>
      </c>
      <c r="B2323" t="s">
        <v>97</v>
      </c>
      <c r="C2323">
        <v>-0.55000000000000004</v>
      </c>
      <c r="D2323">
        <v>-0.61838131357446346</v>
      </c>
      <c r="E2323">
        <v>8.5482380490262327E-2</v>
      </c>
      <c r="F2323">
        <v>498.98983918824047</v>
      </c>
    </row>
    <row r="2324" spans="1:6" x14ac:dyDescent="0.3">
      <c r="A2324">
        <v>0.01</v>
      </c>
      <c r="B2324" t="s">
        <v>97</v>
      </c>
      <c r="C2324">
        <v>-0.54</v>
      </c>
      <c r="D2324">
        <v>-0.60415560296226711</v>
      </c>
      <c r="E2324">
        <v>8.49734349105635E-2</v>
      </c>
      <c r="F2324">
        <v>509.89915358479232</v>
      </c>
    </row>
    <row r="2325" spans="1:6" x14ac:dyDescent="0.3">
      <c r="A2325">
        <v>0.01</v>
      </c>
      <c r="B2325" t="s">
        <v>97</v>
      </c>
      <c r="C2325">
        <v>-0.53</v>
      </c>
      <c r="D2325">
        <v>-0.59014515984118854</v>
      </c>
      <c r="E2325">
        <v>8.4458983720243602E-2</v>
      </c>
      <c r="F2325">
        <v>521.1273836439492</v>
      </c>
    </row>
    <row r="2326" spans="1:6" x14ac:dyDescent="0.3">
      <c r="A2326">
        <v>0.01</v>
      </c>
      <c r="B2326" t="s">
        <v>97</v>
      </c>
      <c r="C2326">
        <v>-0.52</v>
      </c>
      <c r="D2326">
        <v>-0.57633975496919276</v>
      </c>
      <c r="E2326">
        <v>8.3938703527644695E-2</v>
      </c>
      <c r="F2326">
        <v>532.693541925354</v>
      </c>
    </row>
    <row r="2327" spans="1:6" x14ac:dyDescent="0.3">
      <c r="A2327">
        <v>0.01</v>
      </c>
      <c r="B2327" t="s">
        <v>97</v>
      </c>
      <c r="C2327">
        <v>-0.51</v>
      </c>
      <c r="D2327">
        <v>-0.56272976935214891</v>
      </c>
      <c r="E2327">
        <v>8.3412257907747575E-2</v>
      </c>
      <c r="F2327">
        <v>544.61796659116817</v>
      </c>
    </row>
    <row r="2328" spans="1:6" x14ac:dyDescent="0.3">
      <c r="A2328">
        <v>0.01</v>
      </c>
      <c r="B2328" t="s">
        <v>97</v>
      </c>
      <c r="C2328">
        <v>-0.5</v>
      </c>
      <c r="D2328">
        <v>-0.54930614433405489</v>
      </c>
      <c r="E2328">
        <v>8.2879273743238627E-2</v>
      </c>
      <c r="F2328">
        <v>556.92248918744178</v>
      </c>
    </row>
    <row r="2329" spans="1:6" x14ac:dyDescent="0.3">
      <c r="A2329">
        <v>0.01</v>
      </c>
      <c r="B2329" t="s">
        <v>97</v>
      </c>
      <c r="C2329">
        <v>-0.49</v>
      </c>
      <c r="D2329">
        <v>-0.53606033661056662</v>
      </c>
      <c r="E2329">
        <v>8.2339405896000584E-2</v>
      </c>
      <c r="F2329">
        <v>569.6304849063207</v>
      </c>
    </row>
    <row r="2330" spans="1:6" x14ac:dyDescent="0.3">
      <c r="A2330">
        <v>0.01</v>
      </c>
      <c r="B2330" t="s">
        <v>97</v>
      </c>
      <c r="C2330">
        <v>-0.48</v>
      </c>
      <c r="D2330">
        <v>-0.5229842775913438</v>
      </c>
      <c r="E2330">
        <v>8.1792257022196127E-2</v>
      </c>
      <c r="F2330">
        <v>582.76715568586724</v>
      </c>
    </row>
    <row r="2331" spans="1:6" x14ac:dyDescent="0.3">
      <c r="A2331">
        <v>0.01</v>
      </c>
      <c r="B2331" t="s">
        <v>97</v>
      </c>
      <c r="C2331">
        <v>-0.47</v>
      </c>
      <c r="D2331">
        <v>-0.51007033661330725</v>
      </c>
      <c r="E2331">
        <v>8.1237462544276148E-2</v>
      </c>
      <c r="F2331">
        <v>596.35957875611734</v>
      </c>
    </row>
    <row r="2332" spans="1:6" x14ac:dyDescent="0.3">
      <c r="A2332">
        <v>0.01</v>
      </c>
      <c r="B2332" t="s">
        <v>97</v>
      </c>
      <c r="C2332">
        <v>-0.46</v>
      </c>
      <c r="D2332">
        <v>-0.49731128757203097</v>
      </c>
      <c r="E2332">
        <v>8.0674611034035462E-2</v>
      </c>
      <c r="F2332">
        <v>610.43703659950279</v>
      </c>
    </row>
    <row r="2333" spans="1:6" x14ac:dyDescent="0.3">
      <c r="A2333">
        <v>0.01</v>
      </c>
      <c r="B2333" t="s">
        <v>97</v>
      </c>
      <c r="C2333">
        <v>-0.45</v>
      </c>
      <c r="D2333">
        <v>-0.48470027859405168</v>
      </c>
      <c r="E2333">
        <v>8.0103274165108165E-2</v>
      </c>
      <c r="F2333">
        <v>625.03120097117699</v>
      </c>
    </row>
    <row r="2334" spans="1:6" x14ac:dyDescent="0.3">
      <c r="A2334">
        <v>0.01</v>
      </c>
      <c r="B2334" t="s">
        <v>97</v>
      </c>
      <c r="C2334">
        <v>-0.44</v>
      </c>
      <c r="D2334">
        <v>-0.47223080442042559</v>
      </c>
      <c r="E2334">
        <v>7.9523014001899761E-2</v>
      </c>
      <c r="F2334">
        <v>640.17637773321917</v>
      </c>
    </row>
    <row r="2335" spans="1:6" x14ac:dyDescent="0.3">
      <c r="A2335">
        <v>0.01</v>
      </c>
      <c r="B2335" t="s">
        <v>97</v>
      </c>
      <c r="C2335">
        <v>-0.43</v>
      </c>
      <c r="D2335">
        <v>-0.45989668121267852</v>
      </c>
      <c r="E2335">
        <v>7.8933369027849032E-2</v>
      </c>
      <c r="F2335">
        <v>655.90982378409615</v>
      </c>
    </row>
    <row r="2336" spans="1:6" x14ac:dyDescent="0.3">
      <c r="A2336">
        <v>0.01</v>
      </c>
      <c r="B2336" t="s">
        <v>97</v>
      </c>
      <c r="C2336">
        <v>-0.42</v>
      </c>
      <c r="D2336">
        <v>-0.4476920235274206</v>
      </c>
      <c r="E2336">
        <v>7.8333871676633388E-2</v>
      </c>
      <c r="F2336">
        <v>672.27204396325726</v>
      </c>
    </row>
    <row r="2337" spans="1:6" x14ac:dyDescent="0.3">
      <c r="A2337">
        <v>0.01</v>
      </c>
      <c r="B2337" t="s">
        <v>97</v>
      </c>
      <c r="C2337">
        <v>-0.41</v>
      </c>
      <c r="D2337">
        <v>-0.43561122323622431</v>
      </c>
      <c r="E2337">
        <v>7.7724003730406915E-2</v>
      </c>
      <c r="F2337">
        <v>689.30725722153852</v>
      </c>
    </row>
    <row r="2338" spans="1:6" x14ac:dyDescent="0.3">
      <c r="A2338">
        <v>0.01</v>
      </c>
      <c r="B2338" t="s">
        <v>97</v>
      </c>
      <c r="C2338">
        <v>-0.4</v>
      </c>
      <c r="D2338">
        <v>-0.42364893019360178</v>
      </c>
      <c r="E2338">
        <v>7.7103234890096378E-2</v>
      </c>
      <c r="F2338">
        <v>707.0637524911026</v>
      </c>
    </row>
    <row r="2339" spans="1:6" x14ac:dyDescent="0.3">
      <c r="A2339">
        <v>0.01</v>
      </c>
      <c r="B2339" t="s">
        <v>97</v>
      </c>
      <c r="C2339">
        <v>-0.39</v>
      </c>
      <c r="D2339">
        <v>-0.41180003447869035</v>
      </c>
      <c r="E2339">
        <v>7.6470999272748127E-2</v>
      </c>
      <c r="F2339">
        <v>725.59443035244487</v>
      </c>
    </row>
    <row r="2340" spans="1:6" x14ac:dyDescent="0.3">
      <c r="A2340">
        <v>0.01</v>
      </c>
      <c r="B2340" t="s">
        <v>97</v>
      </c>
      <c r="C2340">
        <v>-0.38</v>
      </c>
      <c r="D2340">
        <v>-0.40005965005605654</v>
      </c>
      <c r="E2340">
        <v>7.5826707948995931E-2</v>
      </c>
      <c r="F2340">
        <v>744.95734249826353</v>
      </c>
    </row>
    <row r="2341" spans="1:6" x14ac:dyDescent="0.3">
      <c r="A2341">
        <v>0.01</v>
      </c>
      <c r="B2341" t="s">
        <v>97</v>
      </c>
      <c r="C2341">
        <v>-0.37</v>
      </c>
      <c r="D2341">
        <v>-0.38842309971829614</v>
      </c>
      <c r="E2341">
        <v>7.5169736319849384E-2</v>
      </c>
      <c r="F2341">
        <v>765.21637255572091</v>
      </c>
    </row>
    <row r="2342" spans="1:6" x14ac:dyDescent="0.3">
      <c r="A2342">
        <v>0.01</v>
      </c>
      <c r="B2342" t="s">
        <v>97</v>
      </c>
      <c r="C2342">
        <v>-0.36</v>
      </c>
      <c r="D2342">
        <v>-0.37688590118819004</v>
      </c>
      <c r="E2342">
        <v>7.4499412276901739E-2</v>
      </c>
      <c r="F2342">
        <v>786.44202344292125</v>
      </c>
    </row>
    <row r="2343" spans="1:6" x14ac:dyDescent="0.3">
      <c r="A2343">
        <v>0.01</v>
      </c>
      <c r="B2343" t="s">
        <v>97</v>
      </c>
      <c r="C2343">
        <v>-0.35</v>
      </c>
      <c r="D2343">
        <v>-0.36544375427139619</v>
      </c>
      <c r="E2343">
        <v>7.3815024494497061E-2</v>
      </c>
      <c r="F2343">
        <v>808.71227761046566</v>
      </c>
    </row>
    <row r="2344" spans="1:6" x14ac:dyDescent="0.3">
      <c r="A2344">
        <v>0.01</v>
      </c>
      <c r="B2344" t="s">
        <v>97</v>
      </c>
      <c r="C2344">
        <v>-0.34</v>
      </c>
      <c r="D2344">
        <v>-0.35409252896224297</v>
      </c>
      <c r="E2344">
        <v>7.3115806525269944E-2</v>
      </c>
      <c r="F2344">
        <v>832.11366534779211</v>
      </c>
    </row>
    <row r="2345" spans="1:6" x14ac:dyDescent="0.3">
      <c r="A2345">
        <v>0.01</v>
      </c>
      <c r="B2345" t="s">
        <v>97</v>
      </c>
      <c r="C2345">
        <v>-0.33</v>
      </c>
      <c r="D2345">
        <v>-0.34282825441539394</v>
      </c>
      <c r="E2345">
        <v>7.2400983738335367E-2</v>
      </c>
      <c r="F2345">
        <v>856.74232669076378</v>
      </c>
    </row>
    <row r="2346" spans="1:6" x14ac:dyDescent="0.3">
      <c r="A2346">
        <v>0.01</v>
      </c>
      <c r="B2346" t="s">
        <v>97</v>
      </c>
      <c r="C2346">
        <v>-0.32</v>
      </c>
      <c r="D2346">
        <v>-0.3316471087051322</v>
      </c>
      <c r="E2346">
        <v>7.1669648487682452E-2</v>
      </c>
      <c r="F2346">
        <v>882.70578878042238</v>
      </c>
    </row>
    <row r="2347" spans="1:6" x14ac:dyDescent="0.3">
      <c r="A2347">
        <v>0.01</v>
      </c>
      <c r="B2347" t="s">
        <v>97</v>
      </c>
      <c r="C2347">
        <v>-0.31</v>
      </c>
      <c r="D2347">
        <v>-0.32054540930194608</v>
      </c>
      <c r="E2347">
        <v>7.0920903577529823E-2</v>
      </c>
      <c r="F2347">
        <v>910.12420771434392</v>
      </c>
    </row>
    <row r="2348" spans="1:6" x14ac:dyDescent="0.3">
      <c r="A2348">
        <v>0.01</v>
      </c>
      <c r="B2348" t="s">
        <v>97</v>
      </c>
      <c r="C2348">
        <v>-0.3</v>
      </c>
      <c r="D2348">
        <v>-0.30951960420311175</v>
      </c>
      <c r="E2348">
        <v>7.0153720916304937E-2</v>
      </c>
      <c r="F2348">
        <v>939.13278747535082</v>
      </c>
    </row>
    <row r="2349" spans="1:6" x14ac:dyDescent="0.3">
      <c r="A2349">
        <v>0.01</v>
      </c>
      <c r="B2349" t="s">
        <v>97</v>
      </c>
      <c r="C2349">
        <v>-0.28999999999999998</v>
      </c>
      <c r="D2349">
        <v>-0.29856626366017835</v>
      </c>
      <c r="E2349">
        <v>6.9367046469558144E-2</v>
      </c>
      <c r="F2349">
        <v>969.88380272146117</v>
      </c>
    </row>
    <row r="2350" spans="1:6" x14ac:dyDescent="0.3">
      <c r="A2350">
        <v>0.01</v>
      </c>
      <c r="B2350" t="s">
        <v>97</v>
      </c>
      <c r="C2350">
        <v>-0.28000000000000003</v>
      </c>
      <c r="D2350">
        <v>-0.2876820724517809</v>
      </c>
      <c r="E2350">
        <v>6.8559718294670932E-2</v>
      </c>
      <c r="F2350">
        <v>1002.5497061365882</v>
      </c>
    </row>
    <row r="2351" spans="1:6" x14ac:dyDescent="0.3">
      <c r="A2351">
        <v>0.01</v>
      </c>
      <c r="B2351" t="s">
        <v>97</v>
      </c>
      <c r="C2351">
        <v>-0.27</v>
      </c>
      <c r="D2351">
        <v>-0.27686382265510007</v>
      </c>
      <c r="E2351">
        <v>6.7730443412703262E-2</v>
      </c>
      <c r="F2351">
        <v>1037.3266664670148</v>
      </c>
    </row>
    <row r="2352" spans="1:6" x14ac:dyDescent="0.3">
      <c r="A2352">
        <v>0.01</v>
      </c>
      <c r="B2352" t="s">
        <v>97</v>
      </c>
      <c r="C2352">
        <v>-0.26</v>
      </c>
      <c r="D2352">
        <v>-0.26610840687365411</v>
      </c>
      <c r="E2352">
        <v>6.6877847940057564E-2</v>
      </c>
      <c r="F2352">
        <v>1074.4385434314249</v>
      </c>
    </row>
    <row r="2353" spans="1:6" x14ac:dyDescent="0.3">
      <c r="A2353">
        <v>0.01</v>
      </c>
      <c r="B2353" t="s">
        <v>97</v>
      </c>
      <c r="C2353">
        <v>-0.25</v>
      </c>
      <c r="D2353">
        <v>-0.25541281188299536</v>
      </c>
      <c r="E2353">
        <v>6.6000454357502888E-2</v>
      </c>
      <c r="F2353">
        <v>1114.1420451733109</v>
      </c>
    </row>
    <row r="2354" spans="1:6" x14ac:dyDescent="0.3">
      <c r="A2354">
        <v>0.01</v>
      </c>
      <c r="B2354" t="s">
        <v>97</v>
      </c>
      <c r="C2354">
        <v>-0.24</v>
      </c>
      <c r="D2354">
        <v>-0.24477411265935289</v>
      </c>
      <c r="E2354">
        <v>6.5096572872553327E-2</v>
      </c>
      <c r="F2354">
        <v>1156.7335083969699</v>
      </c>
    </row>
    <row r="2355" spans="1:6" x14ac:dyDescent="0.3">
      <c r="A2355">
        <v>0.01</v>
      </c>
      <c r="B2355" t="s">
        <v>97</v>
      </c>
      <c r="C2355">
        <v>-0.23</v>
      </c>
      <c r="D2355">
        <v>-0.23418946675936678</v>
      </c>
      <c r="E2355">
        <v>6.4164442796990601E-2</v>
      </c>
      <c r="F2355">
        <v>1202.5560282464753</v>
      </c>
    </row>
    <row r="2356" spans="1:6" x14ac:dyDescent="0.3">
      <c r="A2356">
        <v>0.01</v>
      </c>
      <c r="B2356" t="s">
        <v>97</v>
      </c>
      <c r="C2356">
        <v>-0.22</v>
      </c>
      <c r="D2356">
        <v>-0.22365610902183239</v>
      </c>
      <c r="E2356">
        <v>6.3202005314901194E-2</v>
      </c>
      <c r="F2356">
        <v>1252.0103542313232</v>
      </c>
    </row>
    <row r="2357" spans="1:6" x14ac:dyDescent="0.3">
      <c r="A2357">
        <v>0.01</v>
      </c>
      <c r="B2357" t="s">
        <v>97</v>
      </c>
      <c r="C2357">
        <v>-0.21</v>
      </c>
      <c r="D2357">
        <v>-0.21317134656485975</v>
      </c>
      <c r="E2357">
        <v>6.220709920690895E-2</v>
      </c>
      <c r="F2357">
        <v>1305.5662023513351</v>
      </c>
    </row>
    <row r="2358" spans="1:6" x14ac:dyDescent="0.3">
      <c r="A2358">
        <v>0.01</v>
      </c>
      <c r="B2358" t="s">
        <v>97</v>
      </c>
      <c r="C2358">
        <v>-0.2</v>
      </c>
      <c r="D2358">
        <v>-0.20273255405408214</v>
      </c>
      <c r="E2358">
        <v>6.117722407902957E-2</v>
      </c>
      <c r="F2358">
        <v>1363.779306517004</v>
      </c>
    </row>
    <row r="2359" spans="1:6" x14ac:dyDescent="0.3">
      <c r="A2359">
        <v>0.01</v>
      </c>
      <c r="B2359" t="s">
        <v>97</v>
      </c>
      <c r="C2359">
        <v>-0.19</v>
      </c>
      <c r="D2359">
        <v>-0.1923371692195453</v>
      </c>
      <c r="E2359">
        <v>6.0109602570305135E-2</v>
      </c>
      <c r="F2359">
        <v>1427.3114395296961</v>
      </c>
    </row>
    <row r="2360" spans="1:6" x14ac:dyDescent="0.3">
      <c r="A2360">
        <v>0.01</v>
      </c>
      <c r="B2360" t="s">
        <v>97</v>
      </c>
      <c r="C2360">
        <v>-0.18</v>
      </c>
      <c r="D2360">
        <v>-0.18198268860070579</v>
      </c>
      <c r="E2360">
        <v>5.9001157548806367E-2</v>
      </c>
      <c r="F2360">
        <v>1496.9570018237628</v>
      </c>
    </row>
    <row r="2361" spans="1:6" x14ac:dyDescent="0.3">
      <c r="A2361">
        <v>0.01</v>
      </c>
      <c r="B2361" t="s">
        <v>97</v>
      </c>
      <c r="C2361">
        <v>-0.17</v>
      </c>
      <c r="D2361">
        <v>-0.17166666350057908</v>
      </c>
      <c r="E2361">
        <v>5.7848327455322188E-2</v>
      </c>
      <c r="F2361">
        <v>1573.6794086895375</v>
      </c>
    </row>
    <row r="2362" spans="1:6" x14ac:dyDescent="0.3">
      <c r="A2362">
        <v>0.01</v>
      </c>
      <c r="B2362" t="s">
        <v>97</v>
      </c>
      <c r="C2362">
        <v>-0.16</v>
      </c>
      <c r="D2362">
        <v>-0.16138669613152551</v>
      </c>
      <c r="E2362">
        <v>5.6647105545772229E-2</v>
      </c>
      <c r="F2362">
        <v>1658.6578426358803</v>
      </c>
    </row>
    <row r="2363" spans="1:6" x14ac:dyDescent="0.3">
      <c r="A2363">
        <v>0.01</v>
      </c>
      <c r="B2363" t="s">
        <v>97</v>
      </c>
      <c r="C2363">
        <v>-0.15</v>
      </c>
      <c r="D2363">
        <v>-0.15114043593646675</v>
      </c>
      <c r="E2363">
        <v>5.5392869082324166E-2</v>
      </c>
      <c r="F2363">
        <v>1753.3526566661199</v>
      </c>
    </row>
    <row r="2364" spans="1:6" x14ac:dyDescent="0.3">
      <c r="A2364">
        <v>0.01</v>
      </c>
      <c r="B2364" t="s">
        <v>97</v>
      </c>
      <c r="C2364">
        <v>-0.14000000000000001</v>
      </c>
      <c r="D2364">
        <v>-0.14092557607049394</v>
      </c>
      <c r="E2364">
        <v>5.4080236389222019E-2</v>
      </c>
      <c r="F2364">
        <v>1859.5955508327424</v>
      </c>
    </row>
    <row r="2365" spans="1:6" x14ac:dyDescent="0.3">
      <c r="A2365">
        <v>0.01</v>
      </c>
      <c r="B2365" t="s">
        <v>97</v>
      </c>
      <c r="C2365">
        <v>-0.13</v>
      </c>
      <c r="D2365">
        <v>-0.13073985002887836</v>
      </c>
      <c r="E2365">
        <v>5.2702934803435963E-2</v>
      </c>
      <c r="F2365">
        <v>1979.7164589440993</v>
      </c>
    </row>
    <row r="2366" spans="1:6" x14ac:dyDescent="0.3">
      <c r="A2366">
        <v>0.01</v>
      </c>
      <c r="B2366" t="s">
        <v>97</v>
      </c>
      <c r="C2366">
        <v>-0.12</v>
      </c>
      <c r="D2366">
        <v>-0.12058102840844405</v>
      </c>
      <c r="E2366">
        <v>5.1253538218885134E-2</v>
      </c>
      <c r="F2366">
        <v>2116.7279336417587</v>
      </c>
    </row>
    <row r="2367" spans="1:6" x14ac:dyDescent="0.3">
      <c r="A2367">
        <v>0.01</v>
      </c>
      <c r="B2367" t="s">
        <v>97</v>
      </c>
      <c r="C2367">
        <v>-0.11</v>
      </c>
      <c r="D2367">
        <v>-0.1104469157900972</v>
      </c>
      <c r="E2367">
        <v>4.9723114823911459E-2</v>
      </c>
      <c r="F2367">
        <v>2274.5988533520249</v>
      </c>
    </row>
    <row r="2368" spans="1:6" x14ac:dyDescent="0.3">
      <c r="A2368">
        <v>0.01</v>
      </c>
      <c r="B2368" t="s">
        <v>97</v>
      </c>
      <c r="C2368">
        <v>-0.1</v>
      </c>
      <c r="D2368">
        <v>-0.10033534773107562</v>
      </c>
      <c r="E2368">
        <v>4.8100807761421692E-2</v>
      </c>
      <c r="F2368">
        <v>2458.6715793700996</v>
      </c>
    </row>
    <row r="2369" spans="1:6" x14ac:dyDescent="0.3">
      <c r="A2369">
        <v>0.01</v>
      </c>
      <c r="B2369" t="s">
        <v>97</v>
      </c>
      <c r="C2369">
        <v>-0.09</v>
      </c>
      <c r="D2369">
        <v>-9.0244187856146837E-2</v>
      </c>
      <c r="E2369">
        <v>4.6373172029134296E-2</v>
      </c>
      <c r="F2369">
        <v>2676.3222968315995</v>
      </c>
    </row>
    <row r="2370" spans="1:6" x14ac:dyDescent="0.3">
      <c r="A2370">
        <v>0.01</v>
      </c>
      <c r="B2370" t="s">
        <v>97</v>
      </c>
      <c r="C2370">
        <v>-0.08</v>
      </c>
      <c r="D2370">
        <v>-8.0171325037589683E-2</v>
      </c>
      <c r="E2370">
        <v>4.4523165729010966E-2</v>
      </c>
      <c r="F2370">
        <v>2938.0489717807845</v>
      </c>
    </row>
    <row r="2371" spans="1:6" x14ac:dyDescent="0.3">
      <c r="A2371">
        <v>0.01</v>
      </c>
      <c r="B2371" t="s">
        <v>97</v>
      </c>
      <c r="C2371">
        <v>-7.0000000000000007E-2</v>
      </c>
      <c r="D2371">
        <v>-7.0114670654325195E-2</v>
      </c>
      <c r="E2371">
        <v>4.2528658466709092E-2</v>
      </c>
      <c r="F2371">
        <v>3259.3506136184778</v>
      </c>
    </row>
    <row r="2372" spans="1:6" x14ac:dyDescent="0.3">
      <c r="A2372">
        <v>0.01</v>
      </c>
      <c r="B2372" t="s">
        <v>97</v>
      </c>
      <c r="C2372">
        <v>-0.06</v>
      </c>
      <c r="D2372">
        <v>-6.007215592103167E-2</v>
      </c>
      <c r="E2372">
        <v>4.0359933328170491E-2</v>
      </c>
      <c r="F2372">
        <v>3664.1773329539401</v>
      </c>
    </row>
    <row r="2373" spans="1:6" x14ac:dyDescent="0.3">
      <c r="A2373">
        <v>0.01</v>
      </c>
      <c r="B2373" t="s">
        <v>97</v>
      </c>
      <c r="C2373">
        <v>-0.05</v>
      </c>
      <c r="D2373">
        <v>-5.0041729278491327E-2</v>
      </c>
      <c r="E2373">
        <v>3.7975425969345132E-2</v>
      </c>
      <c r="F2373">
        <v>4191.7528022701536</v>
      </c>
    </row>
    <row r="2374" spans="1:6" x14ac:dyDescent="0.3">
      <c r="A2374">
        <v>0.01</v>
      </c>
      <c r="B2374" t="s">
        <v>97</v>
      </c>
      <c r="C2374">
        <v>-0.04</v>
      </c>
      <c r="D2374">
        <v>-4.0021353836768248E-2</v>
      </c>
      <c r="E2374">
        <v>3.5313649633603304E-2</v>
      </c>
      <c r="F2374">
        <v>4911.4587576607437</v>
      </c>
    </row>
    <row r="2375" spans="1:6" x14ac:dyDescent="0.3">
      <c r="A2375">
        <v>0.01</v>
      </c>
      <c r="B2375" t="s">
        <v>97</v>
      </c>
      <c r="C2375">
        <v>-0.03</v>
      </c>
      <c r="D2375">
        <v>-3.000900486312652E-2</v>
      </c>
      <c r="E2375">
        <v>3.2276264221359249E-2</v>
      </c>
      <c r="F2375">
        <v>5959.948822507532</v>
      </c>
    </row>
    <row r="2376" spans="1:6" x14ac:dyDescent="0.3">
      <c r="A2376">
        <v>0.01</v>
      </c>
      <c r="B2376" t="s">
        <v>97</v>
      </c>
      <c r="C2376">
        <v>-0.02</v>
      </c>
      <c r="D2376">
        <v>-2.0002667306849624E-2</v>
      </c>
      <c r="E2376">
        <v>2.8686275603620446E-2</v>
      </c>
      <c r="F2376">
        <v>7653.797355117691</v>
      </c>
    </row>
    <row r="2377" spans="1:6" x14ac:dyDescent="0.3">
      <c r="A2377">
        <v>0.01</v>
      </c>
      <c r="B2377" t="s">
        <v>97</v>
      </c>
      <c r="C2377">
        <v>-0.01</v>
      </c>
      <c r="D2377">
        <v>-1.0000333353334771E-2</v>
      </c>
      <c r="E2377">
        <v>2.4152663559485407E-2</v>
      </c>
      <c r="F2377">
        <v>10964.763758557672</v>
      </c>
    </row>
    <row r="2378" spans="1:6" x14ac:dyDescent="0.3">
      <c r="A2378">
        <v>0.1</v>
      </c>
      <c r="B2378" t="s">
        <v>99</v>
      </c>
      <c r="C2378">
        <v>-0.99</v>
      </c>
      <c r="D2378">
        <v>-2.6466524123622457</v>
      </c>
      <c r="E2378">
        <v>7.8394764775137279E-2</v>
      </c>
      <c r="F2378">
        <v>31.230810783602124</v>
      </c>
    </row>
    <row r="2379" spans="1:6" x14ac:dyDescent="0.3">
      <c r="A2379">
        <v>0.1</v>
      </c>
      <c r="B2379" t="s">
        <v>99</v>
      </c>
      <c r="C2379">
        <v>-0.98</v>
      </c>
      <c r="D2379">
        <v>-2.2975599250672945</v>
      </c>
      <c r="E2379">
        <v>7.8021912612515204E-2</v>
      </c>
      <c r="F2379">
        <v>35.448432254576169</v>
      </c>
    </row>
    <row r="2380" spans="1:6" x14ac:dyDescent="0.3">
      <c r="A2380">
        <v>0.1</v>
      </c>
      <c r="B2380" t="s">
        <v>99</v>
      </c>
      <c r="C2380">
        <v>-0.97</v>
      </c>
      <c r="D2380">
        <v>-2.0922957200349388</v>
      </c>
      <c r="E2380">
        <v>7.7749036496212467E-2</v>
      </c>
      <c r="F2380">
        <v>38.573612503951793</v>
      </c>
    </row>
    <row r="2381" spans="1:6" x14ac:dyDescent="0.3">
      <c r="A2381">
        <v>0.1</v>
      </c>
      <c r="B2381" t="s">
        <v>99</v>
      </c>
      <c r="C2381">
        <v>-0.96</v>
      </c>
      <c r="D2381">
        <v>-1.9459101490553128</v>
      </c>
      <c r="E2381">
        <v>7.7522139732258161E-2</v>
      </c>
      <c r="F2381">
        <v>41.1973803522392</v>
      </c>
    </row>
    <row r="2382" spans="1:6" x14ac:dyDescent="0.3">
      <c r="A2382">
        <v>0.1</v>
      </c>
      <c r="B2382" t="s">
        <v>99</v>
      </c>
      <c r="C2382">
        <v>-0.95</v>
      </c>
      <c r="D2382">
        <v>-1.8317808230648227</v>
      </c>
      <c r="E2382">
        <v>7.7322260548986138E-2</v>
      </c>
      <c r="F2382">
        <v>43.528017391742054</v>
      </c>
    </row>
    <row r="2383" spans="1:6" x14ac:dyDescent="0.3">
      <c r="A2383">
        <v>0.1</v>
      </c>
      <c r="B2383" t="s">
        <v>99</v>
      </c>
      <c r="C2383">
        <v>-0.94</v>
      </c>
      <c r="D2383">
        <v>-1.7380493449176362</v>
      </c>
      <c r="E2383">
        <v>7.7140239144899841E-2</v>
      </c>
      <c r="F2383">
        <v>45.666152601250388</v>
      </c>
    </row>
    <row r="2384" spans="1:6" x14ac:dyDescent="0.3">
      <c r="A2384">
        <v>0.1</v>
      </c>
      <c r="B2384" t="s">
        <v>99</v>
      </c>
      <c r="C2384">
        <v>-0.93</v>
      </c>
      <c r="D2384">
        <v>-1.6583900199247865</v>
      </c>
      <c r="E2384">
        <v>7.6970882819240388E-2</v>
      </c>
      <c r="F2384">
        <v>47.669054418254433</v>
      </c>
    </row>
    <row r="2385" spans="1:6" x14ac:dyDescent="0.3">
      <c r="A2385">
        <v>0.1</v>
      </c>
      <c r="B2385" t="s">
        <v>99</v>
      </c>
      <c r="C2385">
        <v>-0.92</v>
      </c>
      <c r="D2385">
        <v>-1.5890269151739731</v>
      </c>
      <c r="E2385">
        <v>7.6810934721114235E-2</v>
      </c>
      <c r="F2385">
        <v>49.572857749208985</v>
      </c>
    </row>
    <row r="2386" spans="1:6" x14ac:dyDescent="0.3">
      <c r="A2386">
        <v>0.1</v>
      </c>
      <c r="B2386" t="s">
        <v>99</v>
      </c>
      <c r="C2386">
        <v>-0.91</v>
      </c>
      <c r="D2386">
        <v>-1.5275244253552054</v>
      </c>
      <c r="E2386">
        <v>7.6658196488833902E-2</v>
      </c>
      <c r="F2386">
        <v>51.402068636584673</v>
      </c>
    </row>
    <row r="2387" spans="1:6" x14ac:dyDescent="0.3">
      <c r="A2387">
        <v>0.1</v>
      </c>
      <c r="B2387" t="s">
        <v>99</v>
      </c>
      <c r="C2387">
        <v>-0.9</v>
      </c>
      <c r="D2387">
        <v>-1.4722194895832204</v>
      </c>
      <c r="E2387">
        <v>7.6511092205731643E-2</v>
      </c>
      <c r="F2387">
        <v>53.174229944494542</v>
      </c>
    </row>
    <row r="2388" spans="1:6" x14ac:dyDescent="0.3">
      <c r="A2388">
        <v>0.1</v>
      </c>
      <c r="B2388" t="s">
        <v>99</v>
      </c>
      <c r="C2388">
        <v>-0.89</v>
      </c>
      <c r="D2388">
        <v>-1.421925871130636</v>
      </c>
      <c r="E2388">
        <v>7.636844589467072E-2</v>
      </c>
      <c r="F2388">
        <v>54.902442483597369</v>
      </c>
    </row>
    <row r="2389" spans="1:6" x14ac:dyDescent="0.3">
      <c r="A2389">
        <v>0.1</v>
      </c>
      <c r="B2389" t="s">
        <v>99</v>
      </c>
      <c r="C2389">
        <v>-0.88</v>
      </c>
      <c r="D2389">
        <v>-1.3757676565209744</v>
      </c>
      <c r="E2389">
        <v>7.6229357052540136E-2</v>
      </c>
      <c r="F2389">
        <v>56.596831459271066</v>
      </c>
    </row>
    <row r="2390" spans="1:6" x14ac:dyDescent="0.3">
      <c r="A2390">
        <v>0.1</v>
      </c>
      <c r="B2390" t="s">
        <v>99</v>
      </c>
      <c r="C2390">
        <v>-0.87</v>
      </c>
      <c r="D2390">
        <v>-1.333079629696525</v>
      </c>
      <c r="E2390">
        <v>7.6093122110657802E-2</v>
      </c>
      <c r="F2390">
        <v>58.265451245807391</v>
      </c>
    </row>
    <row r="2391" spans="1:6" x14ac:dyDescent="0.3">
      <c r="A2391">
        <v>0.1</v>
      </c>
      <c r="B2391" t="s">
        <v>99</v>
      </c>
      <c r="C2391">
        <v>-0.86</v>
      </c>
      <c r="D2391">
        <v>-1.2933446720489712</v>
      </c>
      <c r="E2391">
        <v>7.595917167956176E-2</v>
      </c>
      <c r="F2391">
        <v>59.91487389484184</v>
      </c>
    </row>
    <row r="2392" spans="1:6" x14ac:dyDescent="0.3">
      <c r="A2392">
        <v>0.1</v>
      </c>
      <c r="B2392" t="s">
        <v>99</v>
      </c>
      <c r="C2392">
        <v>-0.85</v>
      </c>
      <c r="D2392">
        <v>-1.2561528119880574</v>
      </c>
      <c r="E2392">
        <v>7.5827044503997507E-2</v>
      </c>
      <c r="F2392">
        <v>61.550579129069085</v>
      </c>
    </row>
    <row r="2393" spans="1:6" x14ac:dyDescent="0.3">
      <c r="A2393">
        <v>0.1</v>
      </c>
      <c r="B2393" t="s">
        <v>99</v>
      </c>
      <c r="C2393">
        <v>-0.84</v>
      </c>
      <c r="D2393">
        <v>-1.2211735176846021</v>
      </c>
      <c r="E2393">
        <v>7.5696312065056198E-2</v>
      </c>
      <c r="F2393">
        <v>63.177245210317558</v>
      </c>
    </row>
    <row r="2394" spans="1:6" x14ac:dyDescent="0.3">
      <c r="A2394">
        <v>0.1</v>
      </c>
      <c r="B2394" t="s">
        <v>99</v>
      </c>
      <c r="C2394">
        <v>-0.83</v>
      </c>
      <c r="D2394">
        <v>-1.1881364043926024</v>
      </c>
      <c r="E2394">
        <v>7.5566658628041281E-2</v>
      </c>
      <c r="F2394">
        <v>64.798909294471144</v>
      </c>
    </row>
    <row r="2395" spans="1:6" x14ac:dyDescent="0.3">
      <c r="A2395">
        <v>0.1</v>
      </c>
      <c r="B2395" t="s">
        <v>99</v>
      </c>
      <c r="C2395">
        <v>-0.82</v>
      </c>
      <c r="D2395">
        <v>-1.1568174645903151</v>
      </c>
      <c r="E2395">
        <v>7.543778010450268E-2</v>
      </c>
      <c r="F2395">
        <v>66.419140843511201</v>
      </c>
    </row>
    <row r="2396" spans="1:6" x14ac:dyDescent="0.3">
      <c r="A2396">
        <v>0.1</v>
      </c>
      <c r="B2396" t="s">
        <v>99</v>
      </c>
      <c r="C2396">
        <v>-0.81</v>
      </c>
      <c r="D2396">
        <v>-1.1270290260496929</v>
      </c>
      <c r="E2396">
        <v>7.5309426575350377E-2</v>
      </c>
      <c r="F2396">
        <v>68.041129144402717</v>
      </c>
    </row>
    <row r="2397" spans="1:6" x14ac:dyDescent="0.3">
      <c r="A2397">
        <v>0.1</v>
      </c>
      <c r="B2397" t="s">
        <v>99</v>
      </c>
      <c r="C2397">
        <v>-0.8</v>
      </c>
      <c r="D2397">
        <v>-1.0986122886681098</v>
      </c>
      <c r="E2397">
        <v>7.5181355087706278E-2</v>
      </c>
      <c r="F2397">
        <v>69.667779674614877</v>
      </c>
    </row>
    <row r="2398" spans="1:6" x14ac:dyDescent="0.3">
      <c r="A2398">
        <v>0.1</v>
      </c>
      <c r="B2398" t="s">
        <v>99</v>
      </c>
      <c r="C2398">
        <v>-0.79</v>
      </c>
      <c r="D2398">
        <v>-1.0714316840586662</v>
      </c>
      <c r="E2398">
        <v>7.5053370274680689E-2</v>
      </c>
      <c r="F2398">
        <v>71.301758904198067</v>
      </c>
    </row>
    <row r="2399" spans="1:6" x14ac:dyDescent="0.3">
      <c r="A2399">
        <v>0.1</v>
      </c>
      <c r="B2399" t="s">
        <v>99</v>
      </c>
      <c r="C2399">
        <v>-0.78</v>
      </c>
      <c r="D2399">
        <v>-1.0453705484668847</v>
      </c>
      <c r="E2399">
        <v>7.4925269018302446E-2</v>
      </c>
      <c r="F2399">
        <v>72.945564611559931</v>
      </c>
    </row>
    <row r="2400" spans="1:6" x14ac:dyDescent="0.3">
      <c r="A2400">
        <v>0.1</v>
      </c>
      <c r="B2400" t="s">
        <v>99</v>
      </c>
      <c r="C2400">
        <v>-0.77</v>
      </c>
      <c r="D2400">
        <v>-1.0203277583223398</v>
      </c>
      <c r="E2400">
        <v>7.4796859926974657E-2</v>
      </c>
      <c r="F2400">
        <v>74.601557233686677</v>
      </c>
    </row>
    <row r="2401" spans="1:6" x14ac:dyDescent="0.3">
      <c r="A2401">
        <v>0.1</v>
      </c>
      <c r="B2401" t="s">
        <v>99</v>
      </c>
      <c r="C2401">
        <v>-0.76</v>
      </c>
      <c r="D2401">
        <v>-0.99621508234510314</v>
      </c>
      <c r="E2401">
        <v>7.4668016805170392E-2</v>
      </c>
      <c r="F2401">
        <v>76.271967276392772</v>
      </c>
    </row>
    <row r="2402" spans="1:6" x14ac:dyDescent="0.3">
      <c r="A2402">
        <v>0.1</v>
      </c>
      <c r="B2402" t="s">
        <v>99</v>
      </c>
      <c r="C2402">
        <v>-0.75</v>
      </c>
      <c r="D2402">
        <v>-0.97295507452765673</v>
      </c>
      <c r="E2402">
        <v>7.4538577331764111E-2</v>
      </c>
      <c r="F2402">
        <v>77.958965451908981</v>
      </c>
    </row>
    <row r="2403" spans="1:6" x14ac:dyDescent="0.3">
      <c r="A2403">
        <v>0.1</v>
      </c>
      <c r="B2403" t="s">
        <v>99</v>
      </c>
      <c r="C2403">
        <v>-0.74</v>
      </c>
      <c r="D2403">
        <v>-0.95047938059652348</v>
      </c>
      <c r="E2403">
        <v>7.4408363548608344E-2</v>
      </c>
      <c r="F2403">
        <v>79.664677656988346</v>
      </c>
    </row>
    <row r="2404" spans="1:6" x14ac:dyDescent="0.3">
      <c r="A2404">
        <v>0.1</v>
      </c>
      <c r="B2404" t="s">
        <v>99</v>
      </c>
      <c r="C2404">
        <v>-0.73</v>
      </c>
      <c r="D2404">
        <v>-0.92872736424672497</v>
      </c>
      <c r="E2404">
        <v>7.4277262566705943E-2</v>
      </c>
      <c r="F2404">
        <v>81.391165944894126</v>
      </c>
    </row>
    <row r="2405" spans="1:6" x14ac:dyDescent="0.3">
      <c r="A2405">
        <v>0.1</v>
      </c>
      <c r="B2405" t="s">
        <v>99</v>
      </c>
      <c r="C2405">
        <v>-0.72</v>
      </c>
      <c r="D2405">
        <v>-0.90764498331912458</v>
      </c>
      <c r="E2405">
        <v>7.4145152176152765E-2</v>
      </c>
      <c r="F2405">
        <v>83.140478886808552</v>
      </c>
    </row>
    <row r="2406" spans="1:6" x14ac:dyDescent="0.3">
      <c r="A2406">
        <v>0.1</v>
      </c>
      <c r="B2406" t="s">
        <v>99</v>
      </c>
      <c r="C2406">
        <v>-0.71</v>
      </c>
      <c r="D2406">
        <v>-0.88718386325809284</v>
      </c>
      <c r="E2406">
        <v>7.4011846072611298E-2</v>
      </c>
      <c r="F2406">
        <v>84.914695389579322</v>
      </c>
    </row>
    <row r="2407" spans="1:6" x14ac:dyDescent="0.3">
      <c r="A2407">
        <v>0.1</v>
      </c>
      <c r="B2407" t="s">
        <v>99</v>
      </c>
      <c r="C2407">
        <v>-0.7</v>
      </c>
      <c r="D2407">
        <v>-0.86730052769405308</v>
      </c>
      <c r="E2407">
        <v>7.3877276889292784E-2</v>
      </c>
      <c r="F2407">
        <v>86.715846102005187</v>
      </c>
    </row>
    <row r="2408" spans="1:6" x14ac:dyDescent="0.3">
      <c r="A2408">
        <v>0.1</v>
      </c>
      <c r="B2408" t="s">
        <v>99</v>
      </c>
      <c r="C2408">
        <v>-0.69</v>
      </c>
      <c r="D2408">
        <v>-0.84795575521896349</v>
      </c>
      <c r="E2408">
        <v>7.3741275869888476E-2</v>
      </c>
      <c r="F2408">
        <v>88.546037367582812</v>
      </c>
    </row>
    <row r="2409" spans="1:6" x14ac:dyDescent="0.3">
      <c r="A2409">
        <v>0.1</v>
      </c>
      <c r="B2409" t="s">
        <v>99</v>
      </c>
      <c r="C2409">
        <v>-0.68</v>
      </c>
      <c r="D2409">
        <v>-0.82911403830176633</v>
      </c>
      <c r="E2409">
        <v>7.3603714560042971E-2</v>
      </c>
      <c r="F2409">
        <v>90.407391371921207</v>
      </c>
    </row>
    <row r="2410" spans="1:6" x14ac:dyDescent="0.3">
      <c r="A2410">
        <v>0.1</v>
      </c>
      <c r="B2410" t="s">
        <v>99</v>
      </c>
      <c r="C2410">
        <v>-0.67</v>
      </c>
      <c r="D2410">
        <v>-0.81074312547513749</v>
      </c>
      <c r="E2410">
        <v>7.3464502167787243E-2</v>
      </c>
      <c r="F2410">
        <v>92.30205639468916</v>
      </c>
    </row>
    <row r="2411" spans="1:6" x14ac:dyDescent="0.3">
      <c r="A2411">
        <v>0.1</v>
      </c>
      <c r="B2411" t="s">
        <v>99</v>
      </c>
      <c r="C2411">
        <v>-0.66</v>
      </c>
      <c r="D2411">
        <v>-0.79281363187019105</v>
      </c>
      <c r="E2411">
        <v>7.3323471170659488E-2</v>
      </c>
      <c r="F2411">
        <v>94.232281727425914</v>
      </c>
    </row>
    <row r="2412" spans="1:6" x14ac:dyDescent="0.3">
      <c r="A2412">
        <v>0.1</v>
      </c>
      <c r="B2412" t="s">
        <v>99</v>
      </c>
      <c r="C2412">
        <v>-0.65</v>
      </c>
      <c r="D2412">
        <v>-0.7752987062055835</v>
      </c>
      <c r="E2412">
        <v>7.3180505503022686E-2</v>
      </c>
      <c r="F2412">
        <v>96.200357725940123</v>
      </c>
    </row>
    <row r="2413" spans="1:6" x14ac:dyDescent="0.3">
      <c r="A2413">
        <v>0.1</v>
      </c>
      <c r="B2413" t="s">
        <v>99</v>
      </c>
      <c r="C2413">
        <v>-0.64</v>
      </c>
      <c r="D2413">
        <v>-0.7581737446840443</v>
      </c>
      <c r="E2413">
        <v>7.303548758324184E-2</v>
      </c>
      <c r="F2413">
        <v>98.208655492613104</v>
      </c>
    </row>
    <row r="2414" spans="1:6" x14ac:dyDescent="0.3">
      <c r="A2414">
        <v>0.1</v>
      </c>
      <c r="B2414" t="s">
        <v>99</v>
      </c>
      <c r="C2414">
        <v>-0.63</v>
      </c>
      <c r="D2414">
        <v>-0.74141614408126888</v>
      </c>
      <c r="E2414">
        <v>7.288826467381028E-2</v>
      </c>
      <c r="F2414">
        <v>100.25965919425865</v>
      </c>
    </row>
    <row r="2415" spans="1:6" x14ac:dyDescent="0.3">
      <c r="A2415">
        <v>0.1</v>
      </c>
      <c r="B2415" t="s">
        <v>99</v>
      </c>
      <c r="C2415">
        <v>-0.62</v>
      </c>
      <c r="D2415">
        <v>-0.72500508775299921</v>
      </c>
      <c r="E2415">
        <v>7.273870650855499E-2</v>
      </c>
      <c r="F2415">
        <v>102.35594336193543</v>
      </c>
    </row>
    <row r="2416" spans="1:6" x14ac:dyDescent="0.3">
      <c r="A2416">
        <v>0.1</v>
      </c>
      <c r="B2416" t="s">
        <v>99</v>
      </c>
      <c r="C2416">
        <v>-0.61</v>
      </c>
      <c r="D2416">
        <v>-0.7089213594274083</v>
      </c>
      <c r="E2416">
        <v>7.258668444467678E-2</v>
      </c>
      <c r="F2416">
        <v>104.50019689789357</v>
      </c>
    </row>
    <row r="2417" spans="1:6" x14ac:dyDescent="0.3">
      <c r="A2417">
        <v>0.1</v>
      </c>
      <c r="B2417" t="s">
        <v>99</v>
      </c>
      <c r="C2417">
        <v>-0.6</v>
      </c>
      <c r="D2417">
        <v>-0.69314718055994529</v>
      </c>
      <c r="E2417">
        <v>7.2432038036555499E-2</v>
      </c>
      <c r="F2417">
        <v>106.69525807660567</v>
      </c>
    </row>
    <row r="2418" spans="1:6" x14ac:dyDescent="0.3">
      <c r="A2418">
        <v>0.1</v>
      </c>
      <c r="B2418" t="s">
        <v>99</v>
      </c>
      <c r="C2418">
        <v>-0.59</v>
      </c>
      <c r="D2418">
        <v>-0.67766606775796179</v>
      </c>
      <c r="E2418">
        <v>7.2274614943798401E-2</v>
      </c>
      <c r="F2418">
        <v>108.94410304349753</v>
      </c>
    </row>
    <row r="2419" spans="1:6" x14ac:dyDescent="0.3">
      <c r="A2419">
        <v>0.1</v>
      </c>
      <c r="B2419" t="s">
        <v>99</v>
      </c>
      <c r="C2419">
        <v>-0.57999999999999996</v>
      </c>
      <c r="D2419">
        <v>-0.66246270737179924</v>
      </c>
      <c r="E2419">
        <v>7.2114279400840933E-2</v>
      </c>
      <c r="F2419">
        <v>111.24985350783432</v>
      </c>
    </row>
    <row r="2420" spans="1:6" x14ac:dyDescent="0.3">
      <c r="A2420">
        <v>0.1</v>
      </c>
      <c r="B2420" t="s">
        <v>99</v>
      </c>
      <c r="C2420">
        <v>-0.56999999999999995</v>
      </c>
      <c r="D2420">
        <v>-0.64752284482737277</v>
      </c>
      <c r="E2420">
        <v>7.1950851895757242E-2</v>
      </c>
      <c r="F2420">
        <v>113.6158344675182</v>
      </c>
    </row>
    <row r="2421" spans="1:6" x14ac:dyDescent="0.3">
      <c r="A2421">
        <v>0.1</v>
      </c>
      <c r="B2421" t="s">
        <v>99</v>
      </c>
      <c r="C2421">
        <v>-0.56000000000000005</v>
      </c>
      <c r="D2421">
        <v>-0.63283318666563804</v>
      </c>
      <c r="E2421">
        <v>7.1784188550994776E-2</v>
      </c>
      <c r="F2421">
        <v>116.04553569092998</v>
      </c>
    </row>
    <row r="2422" spans="1:6" x14ac:dyDescent="0.3">
      <c r="A2422">
        <v>0.1</v>
      </c>
      <c r="B2422" t="s">
        <v>99</v>
      </c>
      <c r="C2422">
        <v>-0.55000000000000004</v>
      </c>
      <c r="D2422">
        <v>-0.61838131357446346</v>
      </c>
      <c r="E2422">
        <v>7.1614082063893317E-2</v>
      </c>
      <c r="F2422">
        <v>118.54270219068579</v>
      </c>
    </row>
    <row r="2423" spans="1:6" x14ac:dyDescent="0.3">
      <c r="A2423">
        <v>0.1</v>
      </c>
      <c r="B2423" t="s">
        <v>99</v>
      </c>
      <c r="C2423">
        <v>-0.54</v>
      </c>
      <c r="D2423">
        <v>-0.60415560296226711</v>
      </c>
      <c r="E2423">
        <v>7.1440379611050334E-2</v>
      </c>
      <c r="F2423">
        <v>121.11126765114942</v>
      </c>
    </row>
    <row r="2424" spans="1:6" x14ac:dyDescent="0.3">
      <c r="A2424">
        <v>0.1</v>
      </c>
      <c r="B2424" t="s">
        <v>99</v>
      </c>
      <c r="C2424">
        <v>-0.53</v>
      </c>
      <c r="D2424">
        <v>-0.59014515984118854</v>
      </c>
      <c r="E2424">
        <v>7.1262873300769719E-2</v>
      </c>
      <c r="F2424">
        <v>123.75545883860133</v>
      </c>
    </row>
    <row r="2425" spans="1:6" x14ac:dyDescent="0.3">
      <c r="A2425">
        <v>0.1</v>
      </c>
      <c r="B2425" t="s">
        <v>99</v>
      </c>
      <c r="C2425">
        <v>-0.52</v>
      </c>
      <c r="D2425">
        <v>-0.57633975496919276</v>
      </c>
      <c r="E2425">
        <v>7.1081364431874669E-2</v>
      </c>
      <c r="F2425">
        <v>126.47977194431782</v>
      </c>
    </row>
    <row r="2426" spans="1:6" x14ac:dyDescent="0.3">
      <c r="A2426">
        <v>0.1</v>
      </c>
      <c r="B2426" t="s">
        <v>99</v>
      </c>
      <c r="C2426">
        <v>-0.51</v>
      </c>
      <c r="D2426">
        <v>-0.56272976935214891</v>
      </c>
      <c r="E2426">
        <v>7.0895635884445973E-2</v>
      </c>
      <c r="F2426">
        <v>129.28902136150938</v>
      </c>
    </row>
    <row r="2427" spans="1:6" x14ac:dyDescent="0.3">
      <c r="A2427">
        <v>0.1</v>
      </c>
      <c r="B2427" t="s">
        <v>99</v>
      </c>
      <c r="C2427">
        <v>-0.5</v>
      </c>
      <c r="D2427">
        <v>-0.54930614433405489</v>
      </c>
      <c r="E2427">
        <v>7.0705476256374161E-2</v>
      </c>
      <c r="F2427">
        <v>132.18834977255491</v>
      </c>
    </row>
    <row r="2428" spans="1:6" x14ac:dyDescent="0.3">
      <c r="A2428">
        <v>0.1</v>
      </c>
      <c r="B2428" t="s">
        <v>99</v>
      </c>
      <c r="C2428">
        <v>-0.49</v>
      </c>
      <c r="D2428">
        <v>-0.53606033661056662</v>
      </c>
      <c r="E2428">
        <v>7.0510642661753845E-2</v>
      </c>
      <c r="F2428">
        <v>135.18329310949827</v>
      </c>
    </row>
    <row r="2429" spans="1:6" x14ac:dyDescent="0.3">
      <c r="A2429">
        <v>0.1</v>
      </c>
      <c r="B2429" t="s">
        <v>99</v>
      </c>
      <c r="C2429">
        <v>-0.48</v>
      </c>
      <c r="D2429">
        <v>-0.5229842775913438</v>
      </c>
      <c r="E2429">
        <v>7.0310886561977828E-2</v>
      </c>
      <c r="F2429">
        <v>138.27979647788757</v>
      </c>
    </row>
    <row r="2430" spans="1:6" x14ac:dyDescent="0.3">
      <c r="A2430">
        <v>0.1</v>
      </c>
      <c r="B2430" t="s">
        <v>99</v>
      </c>
      <c r="C2430">
        <v>-0.47</v>
      </c>
      <c r="D2430">
        <v>-0.51007033661330725</v>
      </c>
      <c r="E2430">
        <v>7.0105931780678143E-2</v>
      </c>
      <c r="F2430">
        <v>141.48427590856051</v>
      </c>
    </row>
    <row r="2431" spans="1:6" x14ac:dyDescent="0.3">
      <c r="A2431">
        <v>0.1</v>
      </c>
      <c r="B2431" t="s">
        <v>99</v>
      </c>
      <c r="C2431">
        <v>-0.46</v>
      </c>
      <c r="D2431">
        <v>-0.49731128757203097</v>
      </c>
      <c r="E2431">
        <v>6.989552374481002E-2</v>
      </c>
      <c r="F2431">
        <v>144.80361895146601</v>
      </c>
    </row>
    <row r="2432" spans="1:6" x14ac:dyDescent="0.3">
      <c r="A2432">
        <v>0.1</v>
      </c>
      <c r="B2432" t="s">
        <v>99</v>
      </c>
      <c r="C2432">
        <v>-0.45</v>
      </c>
      <c r="D2432">
        <v>-0.48470027859405168</v>
      </c>
      <c r="E2432">
        <v>6.9679340852472155E-2</v>
      </c>
      <c r="F2432">
        <v>148.24532119467597</v>
      </c>
    </row>
    <row r="2433" spans="1:6" x14ac:dyDescent="0.3">
      <c r="A2433">
        <v>0.1</v>
      </c>
      <c r="B2433" t="s">
        <v>99</v>
      </c>
      <c r="C2433">
        <v>-0.44</v>
      </c>
      <c r="D2433">
        <v>-0.47223080442042559</v>
      </c>
      <c r="E2433">
        <v>6.9457080421437611E-2</v>
      </c>
      <c r="F2433">
        <v>151.81746378989504</v>
      </c>
    </row>
    <row r="2434" spans="1:6" x14ac:dyDescent="0.3">
      <c r="A2434">
        <v>0.1</v>
      </c>
      <c r="B2434" t="s">
        <v>99</v>
      </c>
      <c r="C2434">
        <v>-0.43</v>
      </c>
      <c r="D2434">
        <v>-0.45989668121267852</v>
      </c>
      <c r="E2434">
        <v>6.922838627444805E-2</v>
      </c>
      <c r="F2434">
        <v>155.52885212890067</v>
      </c>
    </row>
    <row r="2435" spans="1:6" x14ac:dyDescent="0.3">
      <c r="A2435">
        <v>0.1</v>
      </c>
      <c r="B2435" t="s">
        <v>99</v>
      </c>
      <c r="C2435">
        <v>-0.42</v>
      </c>
      <c r="D2435">
        <v>-0.4476920235274206</v>
      </c>
      <c r="E2435">
        <v>6.8992901632608086E-2</v>
      </c>
      <c r="F2435">
        <v>159.38903887867417</v>
      </c>
    </row>
    <row r="2436" spans="1:6" x14ac:dyDescent="0.3">
      <c r="A2436">
        <v>0.1</v>
      </c>
      <c r="B2436" t="s">
        <v>99</v>
      </c>
      <c r="C2436">
        <v>-0.41</v>
      </c>
      <c r="D2436">
        <v>-0.43561122323622431</v>
      </c>
      <c r="E2436">
        <v>6.875024523450432E-2</v>
      </c>
      <c r="F2436">
        <v>163.40843391586469</v>
      </c>
    </row>
    <row r="2437" spans="1:6" x14ac:dyDescent="0.3">
      <c r="A2437">
        <v>0.1</v>
      </c>
      <c r="B2437" t="s">
        <v>99</v>
      </c>
      <c r="C2437">
        <v>-0.4</v>
      </c>
      <c r="D2437">
        <v>-0.42364893019360178</v>
      </c>
      <c r="E2437">
        <v>6.8499991429088469E-2</v>
      </c>
      <c r="F2437">
        <v>167.59842599194243</v>
      </c>
    </row>
    <row r="2438" spans="1:6" x14ac:dyDescent="0.3">
      <c r="A2438">
        <v>0.1</v>
      </c>
      <c r="B2438" t="s">
        <v>99</v>
      </c>
      <c r="C2438">
        <v>-0.39</v>
      </c>
      <c r="D2438">
        <v>-0.41180003447869035</v>
      </c>
      <c r="E2438">
        <v>6.8241704580144683E-2</v>
      </c>
      <c r="F2438">
        <v>171.97145692689458</v>
      </c>
    </row>
    <row r="2439" spans="1:6" x14ac:dyDescent="0.3">
      <c r="A2439">
        <v>0.1</v>
      </c>
      <c r="B2439" t="s">
        <v>99</v>
      </c>
      <c r="C2439">
        <v>-0.38</v>
      </c>
      <c r="D2439">
        <v>-0.40005965005605654</v>
      </c>
      <c r="E2439">
        <v>6.7974897676230175E-2</v>
      </c>
      <c r="F2439">
        <v>176.54119876929164</v>
      </c>
    </row>
    <row r="2440" spans="1:6" x14ac:dyDescent="0.3">
      <c r="A2440">
        <v>0.1</v>
      </c>
      <c r="B2440" t="s">
        <v>99</v>
      </c>
      <c r="C2440">
        <v>-0.37</v>
      </c>
      <c r="D2440">
        <v>-0.38842309971829614</v>
      </c>
      <c r="E2440">
        <v>6.7699031463514178E-2</v>
      </c>
      <c r="F2440">
        <v>181.32270744635798</v>
      </c>
    </row>
    <row r="2441" spans="1:6" x14ac:dyDescent="0.3">
      <c r="A2441">
        <v>0.1</v>
      </c>
      <c r="B2441" t="s">
        <v>99</v>
      </c>
      <c r="C2441">
        <v>-0.36</v>
      </c>
      <c r="D2441">
        <v>-0.37688590118819004</v>
      </c>
      <c r="E2441">
        <v>6.7413583221625981E-2</v>
      </c>
      <c r="F2441">
        <v>186.3325063214987</v>
      </c>
    </row>
    <row r="2442" spans="1:6" x14ac:dyDescent="0.3">
      <c r="A2442">
        <v>0.1</v>
      </c>
      <c r="B2442" t="s">
        <v>99</v>
      </c>
      <c r="C2442">
        <v>-0.35</v>
      </c>
      <c r="D2442">
        <v>-0.36544375427139619</v>
      </c>
      <c r="E2442">
        <v>6.7117932501792307E-2</v>
      </c>
      <c r="F2442">
        <v>191.58893107088059</v>
      </c>
    </row>
    <row r="2443" spans="1:6" x14ac:dyDescent="0.3">
      <c r="A2443">
        <v>0.1</v>
      </c>
      <c r="B2443" t="s">
        <v>99</v>
      </c>
      <c r="C2443">
        <v>-0.34</v>
      </c>
      <c r="D2443">
        <v>-0.35409252896224297</v>
      </c>
      <c r="E2443">
        <v>6.6811414059137056E-2</v>
      </c>
      <c r="F2443">
        <v>197.11229826610708</v>
      </c>
    </row>
    <row r="2444" spans="1:6" x14ac:dyDescent="0.3">
      <c r="A2444">
        <v>0.1</v>
      </c>
      <c r="B2444" t="s">
        <v>99</v>
      </c>
      <c r="C2444">
        <v>-0.33</v>
      </c>
      <c r="D2444">
        <v>-0.34282825441539394</v>
      </c>
      <c r="E2444">
        <v>6.6493337053668278E-2</v>
      </c>
      <c r="F2444">
        <v>202.92514727038295</v>
      </c>
    </row>
    <row r="2445" spans="1:6" x14ac:dyDescent="0.3">
      <c r="A2445">
        <v>0.1</v>
      </c>
      <c r="B2445" t="s">
        <v>99</v>
      </c>
      <c r="C2445">
        <v>-0.32</v>
      </c>
      <c r="D2445">
        <v>-0.3316471087051322</v>
      </c>
      <c r="E2445">
        <v>6.6162899133292291E-2</v>
      </c>
      <c r="F2445">
        <v>209.05268410413589</v>
      </c>
    </row>
    <row r="2446" spans="1:6" x14ac:dyDescent="0.3">
      <c r="A2446">
        <v>0.1</v>
      </c>
      <c r="B2446" t="s">
        <v>99</v>
      </c>
      <c r="C2446">
        <v>-0.31</v>
      </c>
      <c r="D2446">
        <v>-0.32054540930194608</v>
      </c>
      <c r="E2446">
        <v>6.5819271128312332E-2</v>
      </c>
      <c r="F2446">
        <v>215.52303529713589</v>
      </c>
    </row>
    <row r="2447" spans="1:6" x14ac:dyDescent="0.3">
      <c r="A2447">
        <v>0.1</v>
      </c>
      <c r="B2447" t="s">
        <v>99</v>
      </c>
      <c r="C2447">
        <v>-0.3</v>
      </c>
      <c r="D2447">
        <v>-0.30951960420311175</v>
      </c>
      <c r="E2447">
        <v>6.5461506008483467E-2</v>
      </c>
      <c r="F2447">
        <v>222.36783375460899</v>
      </c>
    </row>
    <row r="2448" spans="1:6" x14ac:dyDescent="0.3">
      <c r="A2448">
        <v>0.1</v>
      </c>
      <c r="B2448" t="s">
        <v>99</v>
      </c>
      <c r="C2448">
        <v>-0.28999999999999998</v>
      </c>
      <c r="D2448">
        <v>-0.29856626366017835</v>
      </c>
      <c r="E2448">
        <v>6.5088631118179807E-2</v>
      </c>
      <c r="F2448">
        <v>229.62260149433732</v>
      </c>
    </row>
    <row r="2449" spans="1:6" x14ac:dyDescent="0.3">
      <c r="A2449">
        <v>0.1</v>
      </c>
      <c r="B2449" t="s">
        <v>99</v>
      </c>
      <c r="C2449">
        <v>-0.28000000000000003</v>
      </c>
      <c r="D2449">
        <v>-0.2876820724517809</v>
      </c>
      <c r="E2449">
        <v>6.4699488848665984E-2</v>
      </c>
      <c r="F2449">
        <v>237.32765497470999</v>
      </c>
    </row>
    <row r="2450" spans="1:6" x14ac:dyDescent="0.3">
      <c r="A2450">
        <v>0.1</v>
      </c>
      <c r="B2450" t="s">
        <v>99</v>
      </c>
      <c r="C2450">
        <v>-0.27</v>
      </c>
      <c r="D2450">
        <v>-0.27686382265510007</v>
      </c>
      <c r="E2450">
        <v>6.4292892813257299E-2</v>
      </c>
      <c r="F2450">
        <v>245.52860556726563</v>
      </c>
    </row>
    <row r="2451" spans="1:6" x14ac:dyDescent="0.3">
      <c r="A2451">
        <v>0.1</v>
      </c>
      <c r="B2451" t="s">
        <v>99</v>
      </c>
      <c r="C2451">
        <v>-0.26</v>
      </c>
      <c r="D2451">
        <v>-0.26610840687365411</v>
      </c>
      <c r="E2451">
        <v>6.3867457109670747E-2</v>
      </c>
      <c r="F2451">
        <v>254.27759646237902</v>
      </c>
    </row>
    <row r="2452" spans="1:6" x14ac:dyDescent="0.3">
      <c r="A2452">
        <v>0.1</v>
      </c>
      <c r="B2452" t="s">
        <v>99</v>
      </c>
      <c r="C2452">
        <v>-0.25</v>
      </c>
      <c r="D2452">
        <v>-0.25541281188299536</v>
      </c>
      <c r="E2452">
        <v>6.3421686567617569E-2</v>
      </c>
      <c r="F2452">
        <v>263.63427847198489</v>
      </c>
    </row>
    <row r="2453" spans="1:6" x14ac:dyDescent="0.3">
      <c r="A2453">
        <v>0.1</v>
      </c>
      <c r="B2453" t="s">
        <v>99</v>
      </c>
      <c r="C2453">
        <v>-0.24</v>
      </c>
      <c r="D2453">
        <v>-0.24477411265935289</v>
      </c>
      <c r="E2453">
        <v>6.2953914364256014E-2</v>
      </c>
      <c r="F2453">
        <v>273.66732402975919</v>
      </c>
    </row>
    <row r="2454" spans="1:6" x14ac:dyDescent="0.3">
      <c r="A2454">
        <v>0.1</v>
      </c>
      <c r="B2454" t="s">
        <v>99</v>
      </c>
      <c r="C2454">
        <v>-0.23</v>
      </c>
      <c r="D2454">
        <v>-0.23418946675936678</v>
      </c>
      <c r="E2454">
        <v>6.2462258042278417E-2</v>
      </c>
      <c r="F2454">
        <v>284.45625670614459</v>
      </c>
    </row>
    <row r="2455" spans="1:6" x14ac:dyDescent="0.3">
      <c r="A2455">
        <v>0.1</v>
      </c>
      <c r="B2455" t="s">
        <v>99</v>
      </c>
      <c r="C2455">
        <v>-0.22</v>
      </c>
      <c r="D2455">
        <v>-0.22365610902183239</v>
      </c>
      <c r="E2455">
        <v>6.1944666584946857E-2</v>
      </c>
      <c r="F2455">
        <v>296.0935026722878</v>
      </c>
    </row>
    <row r="2456" spans="1:6" x14ac:dyDescent="0.3">
      <c r="A2456">
        <v>0.1</v>
      </c>
      <c r="B2456" t="s">
        <v>99</v>
      </c>
      <c r="C2456">
        <v>-0.21</v>
      </c>
      <c r="D2456">
        <v>-0.21317134656485975</v>
      </c>
      <c r="E2456">
        <v>6.1398748135454269E-2</v>
      </c>
      <c r="F2456">
        <v>308.68751553702242</v>
      </c>
    </row>
    <row r="2457" spans="1:6" x14ac:dyDescent="0.3">
      <c r="A2457">
        <v>0.1</v>
      </c>
      <c r="B2457" t="s">
        <v>99</v>
      </c>
      <c r="C2457">
        <v>-0.2</v>
      </c>
      <c r="D2457">
        <v>-0.20273255405408214</v>
      </c>
      <c r="E2457">
        <v>6.0821887310907145E-2</v>
      </c>
      <c r="F2457">
        <v>322.36595837082564</v>
      </c>
    </row>
    <row r="2458" spans="1:6" x14ac:dyDescent="0.3">
      <c r="A2458">
        <v>0.1</v>
      </c>
      <c r="B2458" t="s">
        <v>99</v>
      </c>
      <c r="C2458">
        <v>-0.19</v>
      </c>
      <c r="D2458">
        <v>-0.1923371692195453</v>
      </c>
      <c r="E2458">
        <v>6.0211040102660034E-2</v>
      </c>
      <c r="F2458">
        <v>337.28067467114039</v>
      </c>
    </row>
    <row r="2459" spans="1:6" x14ac:dyDescent="0.3">
      <c r="A2459">
        <v>0.1</v>
      </c>
      <c r="B2459" t="s">
        <v>99</v>
      </c>
      <c r="C2459">
        <v>-0.18</v>
      </c>
      <c r="D2459">
        <v>-0.18198268860070579</v>
      </c>
      <c r="E2459">
        <v>5.9562791358914645E-2</v>
      </c>
      <c r="F2459">
        <v>353.61332671510098</v>
      </c>
    </row>
    <row r="2460" spans="1:6" x14ac:dyDescent="0.3">
      <c r="A2460">
        <v>0.1</v>
      </c>
      <c r="B2460" t="s">
        <v>99</v>
      </c>
      <c r="C2460">
        <v>-0.17</v>
      </c>
      <c r="D2460">
        <v>-0.17166666350057908</v>
      </c>
      <c r="E2460">
        <v>5.8873197424968673E-2</v>
      </c>
      <c r="F2460">
        <v>371.58344861180382</v>
      </c>
    </row>
    <row r="2461" spans="1:6" x14ac:dyDescent="0.3">
      <c r="A2461">
        <v>0.1</v>
      </c>
      <c r="B2461" t="s">
        <v>99</v>
      </c>
      <c r="C2461">
        <v>-0.16</v>
      </c>
      <c r="D2461">
        <v>-0.16138669613152551</v>
      </c>
      <c r="E2461">
        <v>5.8137681396036263E-2</v>
      </c>
      <c r="F2461">
        <v>391.45895178833865</v>
      </c>
    </row>
    <row r="2462" spans="1:6" x14ac:dyDescent="0.3">
      <c r="A2462">
        <v>0.1</v>
      </c>
      <c r="B2462" t="s">
        <v>99</v>
      </c>
      <c r="C2462">
        <v>-0.15</v>
      </c>
      <c r="D2462">
        <v>-0.15114043593646675</v>
      </c>
      <c r="E2462">
        <v>5.7350980695843698E-2</v>
      </c>
      <c r="F2462">
        <v>413.57004483683772</v>
      </c>
    </row>
    <row r="2463" spans="1:6" x14ac:dyDescent="0.3">
      <c r="A2463">
        <v>0.1</v>
      </c>
      <c r="B2463" t="s">
        <v>99</v>
      </c>
      <c r="C2463">
        <v>-0.14000000000000001</v>
      </c>
      <c r="D2463">
        <v>-0.14092557607049394</v>
      </c>
      <c r="E2463">
        <v>5.6506856373247469E-2</v>
      </c>
      <c r="F2463">
        <v>438.32923356057103</v>
      </c>
    </row>
    <row r="2464" spans="1:6" x14ac:dyDescent="0.3">
      <c r="A2464">
        <v>0.1</v>
      </c>
      <c r="B2464" t="s">
        <v>99</v>
      </c>
      <c r="C2464">
        <v>-0.13</v>
      </c>
      <c r="D2464">
        <v>-0.13073985002887836</v>
      </c>
      <c r="E2464">
        <v>5.5597992554435129E-2</v>
      </c>
      <c r="F2464">
        <v>466.25834941707114</v>
      </c>
    </row>
    <row r="2465" spans="1:6" x14ac:dyDescent="0.3">
      <c r="A2465">
        <v>0.1</v>
      </c>
      <c r="B2465" t="s">
        <v>99</v>
      </c>
      <c r="C2465">
        <v>-0.12</v>
      </c>
      <c r="D2465">
        <v>-0.12058102840844405</v>
      </c>
      <c r="E2465">
        <v>5.4615620416119476E-2</v>
      </c>
      <c r="F2465">
        <v>498.02829701335162</v>
      </c>
    </row>
    <row r="2466" spans="1:6" x14ac:dyDescent="0.3">
      <c r="A2466">
        <v>0.1</v>
      </c>
      <c r="B2466" t="s">
        <v>99</v>
      </c>
      <c r="C2466">
        <v>-0.11</v>
      </c>
      <c r="D2466">
        <v>-0.1104469157900972</v>
      </c>
      <c r="E2466">
        <v>5.3549122419128986E-2</v>
      </c>
      <c r="F2466">
        <v>534.51708319698969</v>
      </c>
    </row>
    <row r="2467" spans="1:6" x14ac:dyDescent="0.3">
      <c r="A2467">
        <v>0.1</v>
      </c>
      <c r="B2467" t="s">
        <v>99</v>
      </c>
      <c r="C2467">
        <v>-0.1</v>
      </c>
      <c r="D2467">
        <v>-0.10033534773107562</v>
      </c>
      <c r="E2467">
        <v>5.2385537061122145E-2</v>
      </c>
      <c r="F2467">
        <v>576.89723200979302</v>
      </c>
    </row>
    <row r="2468" spans="1:6" x14ac:dyDescent="0.3">
      <c r="A2468">
        <v>0.1</v>
      </c>
      <c r="B2468" t="s">
        <v>99</v>
      </c>
      <c r="C2468">
        <v>-0.09</v>
      </c>
      <c r="D2468">
        <v>-9.0244187856146837E-2</v>
      </c>
      <c r="E2468">
        <v>5.1108707267549749E-2</v>
      </c>
      <c r="F2468">
        <v>626.77319438786174</v>
      </c>
    </row>
    <row r="2469" spans="1:6" x14ac:dyDescent="0.3">
      <c r="A2469">
        <v>0.1</v>
      </c>
      <c r="B2469" t="s">
        <v>99</v>
      </c>
      <c r="C2469">
        <v>-0.08</v>
      </c>
      <c r="D2469">
        <v>-8.0171325037589683E-2</v>
      </c>
      <c r="E2469">
        <v>4.9698132096578466E-2</v>
      </c>
      <c r="F2469">
        <v>686.40398009079024</v>
      </c>
    </row>
    <row r="2470" spans="1:6" x14ac:dyDescent="0.3">
      <c r="A2470">
        <v>0.1</v>
      </c>
      <c r="B2470" t="s">
        <v>99</v>
      </c>
      <c r="C2470">
        <v>-7.0000000000000007E-2</v>
      </c>
      <c r="D2470">
        <v>-7.0114670654325195E-2</v>
      </c>
      <c r="E2470">
        <v>4.8127208449095633E-2</v>
      </c>
      <c r="F2470">
        <v>759.08172940392058</v>
      </c>
    </row>
    <row r="2471" spans="1:6" x14ac:dyDescent="0.3">
      <c r="A2471">
        <v>0.1</v>
      </c>
      <c r="B2471" t="s">
        <v>99</v>
      </c>
      <c r="C2471">
        <v>-0.06</v>
      </c>
      <c r="D2471">
        <v>-6.007215592103167E-2</v>
      </c>
      <c r="E2471">
        <v>4.6360328846470004E-2</v>
      </c>
      <c r="F2471">
        <v>849.81363057198394</v>
      </c>
    </row>
    <row r="2472" spans="1:6" x14ac:dyDescent="0.3">
      <c r="A2472">
        <v>0.1</v>
      </c>
      <c r="B2472" t="s">
        <v>99</v>
      </c>
      <c r="C2472">
        <v>-0.05</v>
      </c>
      <c r="D2472">
        <v>-5.0041729278491327E-2</v>
      </c>
      <c r="E2472">
        <v>4.4348151781300339E-2</v>
      </c>
      <c r="F2472">
        <v>966.63608859722967</v>
      </c>
    </row>
    <row r="2473" spans="1:6" x14ac:dyDescent="0.3">
      <c r="A2473">
        <v>0.1</v>
      </c>
      <c r="B2473" t="s">
        <v>99</v>
      </c>
      <c r="C2473">
        <v>-0.04</v>
      </c>
      <c r="D2473">
        <v>-4.0021353836768248E-2</v>
      </c>
      <c r="E2473">
        <v>4.2018606127026625E-2</v>
      </c>
      <c r="F2473">
        <v>1123.39631220859</v>
      </c>
    </row>
    <row r="2474" spans="1:6" x14ac:dyDescent="0.3">
      <c r="A2474">
        <v>0.1</v>
      </c>
      <c r="B2474" t="s">
        <v>99</v>
      </c>
      <c r="C2474">
        <v>-0.03</v>
      </c>
      <c r="D2474">
        <v>-3.000900486312652E-2</v>
      </c>
      <c r="E2474">
        <v>3.9259083618438197E-2</v>
      </c>
      <c r="F2474">
        <v>1346.3919415212447</v>
      </c>
    </row>
    <row r="2475" spans="1:6" x14ac:dyDescent="0.3">
      <c r="A2475">
        <v>0.1</v>
      </c>
      <c r="B2475" t="s">
        <v>99</v>
      </c>
      <c r="C2475">
        <v>-0.02</v>
      </c>
      <c r="D2475">
        <v>-2.0002667306849624E-2</v>
      </c>
      <c r="E2475">
        <v>3.5873898023432625E-2</v>
      </c>
      <c r="F2475">
        <v>1693.3130637607464</v>
      </c>
    </row>
    <row r="2476" spans="1:6" x14ac:dyDescent="0.3">
      <c r="A2476">
        <v>0.1</v>
      </c>
      <c r="B2476" t="s">
        <v>99</v>
      </c>
      <c r="C2476">
        <v>-0.01</v>
      </c>
      <c r="D2476">
        <v>-1.0000333353334771E-2</v>
      </c>
      <c r="E2476">
        <v>3.1457197806813393E-2</v>
      </c>
      <c r="F2476">
        <v>2325.1008615593587</v>
      </c>
    </row>
    <row r="2477" spans="1:6" x14ac:dyDescent="0.3">
      <c r="A2477">
        <v>0.05</v>
      </c>
      <c r="B2477" t="s">
        <v>99</v>
      </c>
      <c r="C2477">
        <v>-0.99</v>
      </c>
      <c r="D2477">
        <v>-2.6466524123622457</v>
      </c>
      <c r="E2477">
        <v>9.3674641425224622E-2</v>
      </c>
      <c r="F2477">
        <v>28.776113824330679</v>
      </c>
    </row>
    <row r="2478" spans="1:6" x14ac:dyDescent="0.3">
      <c r="A2478">
        <v>0.05</v>
      </c>
      <c r="B2478" t="s">
        <v>99</v>
      </c>
      <c r="C2478">
        <v>-0.98</v>
      </c>
      <c r="D2478">
        <v>-2.2975599250672945</v>
      </c>
      <c r="E2478">
        <v>9.3266672156647717E-2</v>
      </c>
      <c r="F2478">
        <v>32.614471193847244</v>
      </c>
    </row>
    <row r="2479" spans="1:6" x14ac:dyDescent="0.3">
      <c r="A2479">
        <v>0.05</v>
      </c>
      <c r="B2479" t="s">
        <v>99</v>
      </c>
      <c r="C2479">
        <v>-0.97</v>
      </c>
      <c r="D2479">
        <v>-2.0922957200349388</v>
      </c>
      <c r="E2479">
        <v>9.2967983650496022E-2</v>
      </c>
      <c r="F2479">
        <v>35.456552011498772</v>
      </c>
    </row>
    <row r="2480" spans="1:6" x14ac:dyDescent="0.3">
      <c r="A2480">
        <v>0.05</v>
      </c>
      <c r="B2480" t="s">
        <v>99</v>
      </c>
      <c r="C2480">
        <v>-0.96</v>
      </c>
      <c r="D2480">
        <v>-1.9459101490553128</v>
      </c>
      <c r="E2480">
        <v>9.2719572015092649E-2</v>
      </c>
      <c r="F2480">
        <v>37.841280845252591</v>
      </c>
    </row>
    <row r="2481" spans="1:6" x14ac:dyDescent="0.3">
      <c r="A2481">
        <v>0.05</v>
      </c>
      <c r="B2481" t="s">
        <v>99</v>
      </c>
      <c r="C2481">
        <v>-0.95</v>
      </c>
      <c r="D2481">
        <v>-1.8317808230648227</v>
      </c>
      <c r="E2481">
        <v>9.2500683518551868E-2</v>
      </c>
      <c r="F2481">
        <v>39.958549187608867</v>
      </c>
    </row>
    <row r="2482" spans="1:6" x14ac:dyDescent="0.3">
      <c r="A2482">
        <v>0.05</v>
      </c>
      <c r="B2482" t="s">
        <v>99</v>
      </c>
      <c r="C2482">
        <v>-0.94</v>
      </c>
      <c r="D2482">
        <v>-1.7380493449176362</v>
      </c>
      <c r="E2482">
        <v>9.2301323390908158E-2</v>
      </c>
      <c r="F2482">
        <v>41.900080906493571</v>
      </c>
    </row>
    <row r="2483" spans="1:6" x14ac:dyDescent="0.3">
      <c r="A2483">
        <v>0.05</v>
      </c>
      <c r="B2483" t="s">
        <v>99</v>
      </c>
      <c r="C2483">
        <v>-0.93</v>
      </c>
      <c r="D2483">
        <v>-1.6583900199247865</v>
      </c>
      <c r="E2483">
        <v>9.2115811570795667E-2</v>
      </c>
      <c r="F2483">
        <v>43.718070555324047</v>
      </c>
    </row>
    <row r="2484" spans="1:6" x14ac:dyDescent="0.3">
      <c r="A2484">
        <v>0.05</v>
      </c>
      <c r="B2484" t="s">
        <v>99</v>
      </c>
      <c r="C2484">
        <v>-0.92</v>
      </c>
      <c r="D2484">
        <v>-1.5890269151739731</v>
      </c>
      <c r="E2484">
        <v>9.1940574821373772E-2</v>
      </c>
      <c r="F2484">
        <v>45.445447588818404</v>
      </c>
    </row>
    <row r="2485" spans="1:6" x14ac:dyDescent="0.3">
      <c r="A2485">
        <v>0.05</v>
      </c>
      <c r="B2485" t="s">
        <v>99</v>
      </c>
      <c r="C2485">
        <v>-0.91</v>
      </c>
      <c r="D2485">
        <v>-1.5275244253552054</v>
      </c>
      <c r="E2485">
        <v>9.1773204541843595E-2</v>
      </c>
      <c r="F2485">
        <v>47.104538122996054</v>
      </c>
    </row>
    <row r="2486" spans="1:6" x14ac:dyDescent="0.3">
      <c r="A2486">
        <v>0.05</v>
      </c>
      <c r="B2486" t="s">
        <v>99</v>
      </c>
      <c r="C2486">
        <v>-0.9</v>
      </c>
      <c r="D2486">
        <v>-1.4722194895832204</v>
      </c>
      <c r="E2486">
        <v>9.161197823849429E-2</v>
      </c>
      <c r="F2486">
        <v>48.71131912751683</v>
      </c>
    </row>
    <row r="2487" spans="1:6" x14ac:dyDescent="0.3">
      <c r="A2487">
        <v>0.05</v>
      </c>
      <c r="B2487" t="s">
        <v>99</v>
      </c>
      <c r="C2487">
        <v>-0.89</v>
      </c>
      <c r="D2487">
        <v>-1.421925871130636</v>
      </c>
      <c r="E2487">
        <v>9.1455621517837982E-2</v>
      </c>
      <c r="F2487">
        <v>50.277714577405121</v>
      </c>
    </row>
    <row r="2488" spans="1:6" x14ac:dyDescent="0.3">
      <c r="A2488">
        <v>0.05</v>
      </c>
      <c r="B2488" t="s">
        <v>99</v>
      </c>
      <c r="C2488">
        <v>-0.88</v>
      </c>
      <c r="D2488">
        <v>-1.3757676565209744</v>
      </c>
      <c r="E2488">
        <v>9.1303150464464508E-2</v>
      </c>
      <c r="F2488">
        <v>51.812937991248916</v>
      </c>
    </row>
    <row r="2489" spans="1:6" x14ac:dyDescent="0.3">
      <c r="A2489">
        <v>0.05</v>
      </c>
      <c r="B2489" t="s">
        <v>99</v>
      </c>
      <c r="C2489">
        <v>-0.87</v>
      </c>
      <c r="D2489">
        <v>-1.333079629696525</v>
      </c>
      <c r="E2489">
        <v>9.1153783337540595E-2</v>
      </c>
      <c r="F2489">
        <v>53.324318282743491</v>
      </c>
    </row>
    <row r="2490" spans="1:6" x14ac:dyDescent="0.3">
      <c r="A2490">
        <v>0.05</v>
      </c>
      <c r="B2490" t="s">
        <v>99</v>
      </c>
      <c r="C2490">
        <v>-0.86</v>
      </c>
      <c r="D2490">
        <v>-1.2933446720489712</v>
      </c>
      <c r="E2490">
        <v>9.1006912303120635E-2</v>
      </c>
      <c r="F2490">
        <v>54.817823783687594</v>
      </c>
    </row>
    <row r="2491" spans="1:6" x14ac:dyDescent="0.3">
      <c r="A2491">
        <v>0.05</v>
      </c>
      <c r="B2491" t="s">
        <v>99</v>
      </c>
      <c r="C2491">
        <v>-0.85</v>
      </c>
      <c r="D2491">
        <v>-1.2561528119880574</v>
      </c>
      <c r="E2491">
        <v>9.086200046271968E-2</v>
      </c>
      <c r="F2491">
        <v>56.298441462754234</v>
      </c>
    </row>
    <row r="2492" spans="1:6" x14ac:dyDescent="0.3">
      <c r="A2492">
        <v>0.05</v>
      </c>
      <c r="B2492" t="s">
        <v>99</v>
      </c>
      <c r="C2492">
        <v>-0.84</v>
      </c>
      <c r="D2492">
        <v>-1.2211735176846021</v>
      </c>
      <c r="E2492">
        <v>9.0718616214514991E-2</v>
      </c>
      <c r="F2492">
        <v>57.770405725030699</v>
      </c>
    </row>
    <row r="2493" spans="1:6" x14ac:dyDescent="0.3">
      <c r="A2493">
        <v>0.05</v>
      </c>
      <c r="B2493" t="s">
        <v>99</v>
      </c>
      <c r="C2493">
        <v>-0.83</v>
      </c>
      <c r="D2493">
        <v>-1.1881364043926024</v>
      </c>
      <c r="E2493">
        <v>9.0576401125586084E-2</v>
      </c>
      <c r="F2493">
        <v>59.237379298495483</v>
      </c>
    </row>
    <row r="2494" spans="1:6" x14ac:dyDescent="0.3">
      <c r="A2494">
        <v>0.05</v>
      </c>
      <c r="B2494" t="s">
        <v>99</v>
      </c>
      <c r="C2494">
        <v>-0.82</v>
      </c>
      <c r="D2494">
        <v>-1.1568174645903151</v>
      </c>
      <c r="E2494">
        <v>9.0435011761845888E-2</v>
      </c>
      <c r="F2494">
        <v>60.702598984706292</v>
      </c>
    </row>
    <row r="2495" spans="1:6" x14ac:dyDescent="0.3">
      <c r="A2495">
        <v>0.05</v>
      </c>
      <c r="B2495" t="s">
        <v>99</v>
      </c>
      <c r="C2495">
        <v>-0.81</v>
      </c>
      <c r="D2495">
        <v>-1.1270290260496929</v>
      </c>
      <c r="E2495">
        <v>9.0294177464381828E-2</v>
      </c>
      <c r="F2495">
        <v>62.168947900000347</v>
      </c>
    </row>
    <row r="2496" spans="1:6" x14ac:dyDescent="0.3">
      <c r="A2496">
        <v>0.05</v>
      </c>
      <c r="B2496" t="s">
        <v>99</v>
      </c>
      <c r="C2496">
        <v>-0.8</v>
      </c>
      <c r="D2496">
        <v>-1.0986122886681098</v>
      </c>
      <c r="E2496">
        <v>9.0153642216083421E-2</v>
      </c>
      <c r="F2496">
        <v>63.639047482516688</v>
      </c>
    </row>
    <row r="2497" spans="1:6" x14ac:dyDescent="0.3">
      <c r="A2497">
        <v>0.05</v>
      </c>
      <c r="B2497" t="s">
        <v>99</v>
      </c>
      <c r="C2497">
        <v>-0.79</v>
      </c>
      <c r="D2497">
        <v>-1.0714316840586662</v>
      </c>
      <c r="E2497">
        <v>9.0013170122923272E-2</v>
      </c>
      <c r="F2497">
        <v>65.115310917368134</v>
      </c>
    </row>
    <row r="2498" spans="1:6" x14ac:dyDescent="0.3">
      <c r="A2498">
        <v>0.05</v>
      </c>
      <c r="B2498" t="s">
        <v>99</v>
      </c>
      <c r="C2498">
        <v>-0.78</v>
      </c>
      <c r="D2498">
        <v>-1.0453705484668847</v>
      </c>
      <c r="E2498">
        <v>8.9872579323966834E-2</v>
      </c>
      <c r="F2498">
        <v>66.599972439858377</v>
      </c>
    </row>
    <row r="2499" spans="1:6" x14ac:dyDescent="0.3">
      <c r="A2499">
        <v>0.05</v>
      </c>
      <c r="B2499" t="s">
        <v>99</v>
      </c>
      <c r="C2499">
        <v>-0.77</v>
      </c>
      <c r="D2499">
        <v>-1.0203277583223398</v>
      </c>
      <c r="E2499">
        <v>8.973164161165649E-2</v>
      </c>
      <c r="F2499">
        <v>68.095163359550995</v>
      </c>
    </row>
    <row r="2500" spans="1:6" x14ac:dyDescent="0.3">
      <c r="A2500">
        <v>0.05</v>
      </c>
      <c r="B2500" t="s">
        <v>99</v>
      </c>
      <c r="C2500">
        <v>-0.76</v>
      </c>
      <c r="D2500">
        <v>-0.99621508234510314</v>
      </c>
      <c r="E2500">
        <v>8.959018157527561E-2</v>
      </c>
      <c r="F2500">
        <v>69.602900092221859</v>
      </c>
    </row>
    <row r="2501" spans="1:6" x14ac:dyDescent="0.3">
      <c r="A2501">
        <v>0.05</v>
      </c>
      <c r="B2501" t="s">
        <v>99</v>
      </c>
      <c r="C2501">
        <v>-0.75</v>
      </c>
      <c r="D2501">
        <v>-0.97295507452765673</v>
      </c>
      <c r="E2501">
        <v>8.9448054060402724E-2</v>
      </c>
      <c r="F2501">
        <v>71.125115693902188</v>
      </c>
    </row>
    <row r="2502" spans="1:6" x14ac:dyDescent="0.3">
      <c r="A2502">
        <v>0.05</v>
      </c>
      <c r="B2502" t="s">
        <v>99</v>
      </c>
      <c r="C2502">
        <v>-0.74</v>
      </c>
      <c r="D2502">
        <v>-0.95047938059652348</v>
      </c>
      <c r="E2502">
        <v>8.9305063746371885E-2</v>
      </c>
      <c r="F2502">
        <v>72.663715832739015</v>
      </c>
    </row>
    <row r="2503" spans="1:6" x14ac:dyDescent="0.3">
      <c r="A2503">
        <v>0.05</v>
      </c>
      <c r="B2503" t="s">
        <v>99</v>
      </c>
      <c r="C2503">
        <v>-0.73</v>
      </c>
      <c r="D2503">
        <v>-0.92872736424672497</v>
      </c>
      <c r="E2503">
        <v>8.9161098771181696E-2</v>
      </c>
      <c r="F2503">
        <v>74.220535708644675</v>
      </c>
    </row>
    <row r="2504" spans="1:6" x14ac:dyDescent="0.3">
      <c r="A2504">
        <v>0.05</v>
      </c>
      <c r="B2504" t="s">
        <v>99</v>
      </c>
      <c r="C2504">
        <v>-0.72</v>
      </c>
      <c r="D2504">
        <v>-0.90764498331912458</v>
      </c>
      <c r="E2504">
        <v>8.9015964445016013E-2</v>
      </c>
      <c r="F2504">
        <v>75.797431396232938</v>
      </c>
    </row>
    <row r="2505" spans="1:6" x14ac:dyDescent="0.3">
      <c r="A2505">
        <v>0.05</v>
      </c>
      <c r="B2505" t="s">
        <v>99</v>
      </c>
      <c r="C2505">
        <v>-0.71</v>
      </c>
      <c r="D2505">
        <v>-0.88718386325809284</v>
      </c>
      <c r="E2505">
        <v>8.8869555687868029E-2</v>
      </c>
      <c r="F2505">
        <v>77.396212306213741</v>
      </c>
    </row>
    <row r="2506" spans="1:6" x14ac:dyDescent="0.3">
      <c r="A2506">
        <v>0.05</v>
      </c>
      <c r="B2506" t="s">
        <v>99</v>
      </c>
      <c r="C2506">
        <v>-0.7</v>
      </c>
      <c r="D2506">
        <v>-0.86730052769405308</v>
      </c>
      <c r="E2506">
        <v>8.8721704232729806E-2</v>
      </c>
      <c r="F2506">
        <v>79.01872608250423</v>
      </c>
    </row>
    <row r="2507" spans="1:6" x14ac:dyDescent="0.3">
      <c r="A2507">
        <v>0.05</v>
      </c>
      <c r="B2507" t="s">
        <v>99</v>
      </c>
      <c r="C2507">
        <v>-0.69</v>
      </c>
      <c r="D2507">
        <v>-0.84795575521896349</v>
      </c>
      <c r="E2507">
        <v>8.8572270587018428E-2</v>
      </c>
      <c r="F2507">
        <v>80.666825589187752</v>
      </c>
    </row>
    <row r="2508" spans="1:6" x14ac:dyDescent="0.3">
      <c r="A2508">
        <v>0.05</v>
      </c>
      <c r="B2508" t="s">
        <v>99</v>
      </c>
      <c r="C2508">
        <v>-0.68</v>
      </c>
      <c r="D2508">
        <v>-0.82911403830176633</v>
      </c>
      <c r="E2508">
        <v>8.8421110303259123E-2</v>
      </c>
      <c r="F2508">
        <v>82.342395751540408</v>
      </c>
    </row>
    <row r="2509" spans="1:6" x14ac:dyDescent="0.3">
      <c r="A2509">
        <v>0.05</v>
      </c>
      <c r="B2509" t="s">
        <v>99</v>
      </c>
      <c r="C2509">
        <v>-0.67</v>
      </c>
      <c r="D2509">
        <v>-0.81074312547513749</v>
      </c>
      <c r="E2509">
        <v>8.8268105882931158E-2</v>
      </c>
      <c r="F2509">
        <v>84.047346413765737</v>
      </c>
    </row>
    <row r="2510" spans="1:6" x14ac:dyDescent="0.3">
      <c r="A2510">
        <v>0.05</v>
      </c>
      <c r="B2510" t="s">
        <v>99</v>
      </c>
      <c r="C2510">
        <v>-0.66</v>
      </c>
      <c r="D2510">
        <v>-0.79281363187019105</v>
      </c>
      <c r="E2510">
        <v>8.8113083707251572E-2</v>
      </c>
      <c r="F2510">
        <v>85.783666954998239</v>
      </c>
    </row>
    <row r="2511" spans="1:6" x14ac:dyDescent="0.3">
      <c r="A2511">
        <v>0.05</v>
      </c>
      <c r="B2511" t="s">
        <v>99</v>
      </c>
      <c r="C2511">
        <v>-0.65</v>
      </c>
      <c r="D2511">
        <v>-0.7752987062055835</v>
      </c>
      <c r="E2511">
        <v>8.7955924065609009E-2</v>
      </c>
      <c r="F2511">
        <v>87.553376312096887</v>
      </c>
    </row>
    <row r="2512" spans="1:6" x14ac:dyDescent="0.3">
      <c r="A2512">
        <v>0.05</v>
      </c>
      <c r="B2512" t="s">
        <v>99</v>
      </c>
      <c r="C2512">
        <v>-0.64</v>
      </c>
      <c r="D2512">
        <v>-0.7581737446840443</v>
      </c>
      <c r="E2512">
        <v>8.7796476607261989E-2</v>
      </c>
      <c r="F2512">
        <v>89.358578730825542</v>
      </c>
    </row>
    <row r="2513" spans="1:6" x14ac:dyDescent="0.3">
      <c r="A2513">
        <v>0.05</v>
      </c>
      <c r="B2513" t="s">
        <v>99</v>
      </c>
      <c r="C2513">
        <v>-0.63</v>
      </c>
      <c r="D2513">
        <v>-0.74141614408126888</v>
      </c>
      <c r="E2513">
        <v>8.7634603280911147E-2</v>
      </c>
      <c r="F2513">
        <v>91.201449672936519</v>
      </c>
    </row>
    <row r="2514" spans="1:6" x14ac:dyDescent="0.3">
      <c r="A2514">
        <v>0.05</v>
      </c>
      <c r="B2514" t="s">
        <v>99</v>
      </c>
      <c r="C2514">
        <v>-0.62</v>
      </c>
      <c r="D2514">
        <v>-0.72500508775299921</v>
      </c>
      <c r="E2514">
        <v>8.7470128141197326E-2</v>
      </c>
      <c r="F2514">
        <v>93.0842759206935</v>
      </c>
    </row>
    <row r="2515" spans="1:6" x14ac:dyDescent="0.3">
      <c r="A2515">
        <v>0.05</v>
      </c>
      <c r="B2515" t="s">
        <v>99</v>
      </c>
      <c r="C2515">
        <v>-0.61</v>
      </c>
      <c r="D2515">
        <v>-0.7089213594274083</v>
      </c>
      <c r="E2515">
        <v>8.7302922292622126E-2</v>
      </c>
      <c r="F2515">
        <v>95.009414958674469</v>
      </c>
    </row>
    <row r="2516" spans="1:6" x14ac:dyDescent="0.3">
      <c r="A2516">
        <v>0.05</v>
      </c>
      <c r="B2516" t="s">
        <v>99</v>
      </c>
      <c r="C2516">
        <v>-0.6</v>
      </c>
      <c r="D2516">
        <v>-0.69314718055994529</v>
      </c>
      <c r="E2516">
        <v>8.7132809123830715E-2</v>
      </c>
      <c r="F2516">
        <v>96.979363730974811</v>
      </c>
    </row>
    <row r="2517" spans="1:6" x14ac:dyDescent="0.3">
      <c r="A2517">
        <v>0.05</v>
      </c>
      <c r="B2517" t="s">
        <v>99</v>
      </c>
      <c r="C2517">
        <v>-0.59</v>
      </c>
      <c r="D2517">
        <v>-0.67766606775796179</v>
      </c>
      <c r="E2517">
        <v>8.6959618946208281E-2</v>
      </c>
      <c r="F2517">
        <v>98.996737478258467</v>
      </c>
    </row>
    <row r="2518" spans="1:6" x14ac:dyDescent="0.3">
      <c r="A2518">
        <v>0.05</v>
      </c>
      <c r="B2518" t="s">
        <v>99</v>
      </c>
      <c r="C2518">
        <v>-0.57999999999999996</v>
      </c>
      <c r="D2518">
        <v>-0.66246270737179924</v>
      </c>
      <c r="E2518">
        <v>8.6783197016198452E-2</v>
      </c>
      <c r="F2518">
        <v>101.0642759880722</v>
      </c>
    </row>
    <row r="2519" spans="1:6" x14ac:dyDescent="0.3">
      <c r="A2519">
        <v>0.05</v>
      </c>
      <c r="B2519" t="s">
        <v>99</v>
      </c>
      <c r="C2519">
        <v>-0.56999999999999995</v>
      </c>
      <c r="D2519">
        <v>-0.64752284482737277</v>
      </c>
      <c r="E2519">
        <v>8.6603356425433695E-2</v>
      </c>
      <c r="F2519">
        <v>103.18488830492655</v>
      </c>
    </row>
    <row r="2520" spans="1:6" x14ac:dyDescent="0.3">
      <c r="A2520">
        <v>0.05</v>
      </c>
      <c r="B2520" t="s">
        <v>99</v>
      </c>
      <c r="C2520">
        <v>-0.56000000000000005</v>
      </c>
      <c r="D2520">
        <v>-0.63283318666563804</v>
      </c>
      <c r="E2520">
        <v>8.6419902526660389E-2</v>
      </c>
      <c r="F2520">
        <v>105.36165208995446</v>
      </c>
    </row>
    <row r="2521" spans="1:6" x14ac:dyDescent="0.3">
      <c r="A2521">
        <v>0.05</v>
      </c>
      <c r="B2521" t="s">
        <v>99</v>
      </c>
      <c r="C2521">
        <v>-0.55000000000000004</v>
      </c>
      <c r="D2521">
        <v>-0.61838131357446346</v>
      </c>
      <c r="E2521">
        <v>8.6232668495571582E-2</v>
      </c>
      <c r="F2521">
        <v>107.59780358717052</v>
      </c>
    </row>
    <row r="2522" spans="1:6" x14ac:dyDescent="0.3">
      <c r="A2522">
        <v>0.05</v>
      </c>
      <c r="B2522" t="s">
        <v>99</v>
      </c>
      <c r="C2522">
        <v>-0.54</v>
      </c>
      <c r="D2522">
        <v>-0.60415560296226711</v>
      </c>
      <c r="E2522">
        <v>8.6041418235063297E-2</v>
      </c>
      <c r="F2522">
        <v>109.89682473661537</v>
      </c>
    </row>
    <row r="2523" spans="1:6" x14ac:dyDescent="0.3">
      <c r="A2523">
        <v>0.05</v>
      </c>
      <c r="B2523" t="s">
        <v>99</v>
      </c>
      <c r="C2523">
        <v>-0.53</v>
      </c>
      <c r="D2523">
        <v>-0.59014515984118854</v>
      </c>
      <c r="E2523">
        <v>8.5845962809347573E-2</v>
      </c>
      <c r="F2523">
        <v>112.26237811297881</v>
      </c>
    </row>
    <row r="2524" spans="1:6" x14ac:dyDescent="0.3">
      <c r="A2524">
        <v>0.05</v>
      </c>
      <c r="B2524" t="s">
        <v>99</v>
      </c>
      <c r="C2524">
        <v>-0.52</v>
      </c>
      <c r="D2524">
        <v>-0.57633975496919276</v>
      </c>
      <c r="E2524">
        <v>8.5646078215181928E-2</v>
      </c>
      <c r="F2524">
        <v>114.69838747328873</v>
      </c>
    </row>
    <row r="2525" spans="1:6" x14ac:dyDescent="0.3">
      <c r="A2525">
        <v>0.05</v>
      </c>
      <c r="B2525" t="s">
        <v>99</v>
      </c>
      <c r="C2525">
        <v>-0.51</v>
      </c>
      <c r="D2525">
        <v>-0.56272976935214891</v>
      </c>
      <c r="E2525">
        <v>8.5441517755913618E-2</v>
      </c>
      <c r="F2525">
        <v>117.20905319080109</v>
      </c>
    </row>
    <row r="2526" spans="1:6" x14ac:dyDescent="0.3">
      <c r="A2526">
        <v>0.05</v>
      </c>
      <c r="B2526" t="s">
        <v>99</v>
      </c>
      <c r="C2526">
        <v>-0.5</v>
      </c>
      <c r="D2526">
        <v>-0.54930614433405489</v>
      </c>
      <c r="E2526">
        <v>8.5232036035803621E-2</v>
      </c>
      <c r="F2526">
        <v>119.79885902462318</v>
      </c>
    </row>
    <row r="2527" spans="1:6" x14ac:dyDescent="0.3">
      <c r="A2527">
        <v>0.05</v>
      </c>
      <c r="B2527" t="s">
        <v>99</v>
      </c>
      <c r="C2527">
        <v>-0.49</v>
      </c>
      <c r="D2527">
        <v>-0.53606033661056662</v>
      </c>
      <c r="E2527">
        <v>8.5017363568152524E-2</v>
      </c>
      <c r="F2527">
        <v>122.4726207527339</v>
      </c>
    </row>
    <row r="2528" spans="1:6" x14ac:dyDescent="0.3">
      <c r="A2528">
        <v>0.05</v>
      </c>
      <c r="B2528" t="s">
        <v>99</v>
      </c>
      <c r="C2528">
        <v>-0.48</v>
      </c>
      <c r="D2528">
        <v>-0.5229842775913438</v>
      </c>
      <c r="E2528">
        <v>8.4797243258290009E-2</v>
      </c>
      <c r="F2528">
        <v>125.23548684935375</v>
      </c>
    </row>
    <row r="2529" spans="1:6" x14ac:dyDescent="0.3">
      <c r="A2529">
        <v>0.05</v>
      </c>
      <c r="B2529" t="s">
        <v>99</v>
      </c>
      <c r="C2529">
        <v>-0.47</v>
      </c>
      <c r="D2529">
        <v>-0.51007033661330725</v>
      </c>
      <c r="E2529">
        <v>8.4571360205329113E-2</v>
      </c>
      <c r="F2529">
        <v>128.09303386372324</v>
      </c>
    </row>
    <row r="2530" spans="1:6" x14ac:dyDescent="0.3">
      <c r="A2530">
        <v>0.05</v>
      </c>
      <c r="B2530" t="s">
        <v>99</v>
      </c>
      <c r="C2530">
        <v>-0.46</v>
      </c>
      <c r="D2530">
        <v>-0.49731128757203097</v>
      </c>
      <c r="E2530">
        <v>8.4339415534445253E-2</v>
      </c>
      <c r="F2530">
        <v>131.05124230664819</v>
      </c>
    </row>
    <row r="2531" spans="1:6" x14ac:dyDescent="0.3">
      <c r="A2531">
        <v>0.05</v>
      </c>
      <c r="B2531" t="s">
        <v>99</v>
      </c>
      <c r="C2531">
        <v>-0.45</v>
      </c>
      <c r="D2531">
        <v>-0.48470027859405168</v>
      </c>
      <c r="E2531">
        <v>8.410108238133894E-2</v>
      </c>
      <c r="F2531">
        <v>134.11657864620716</v>
      </c>
    </row>
    <row r="2532" spans="1:6" x14ac:dyDescent="0.3">
      <c r="A2532">
        <v>0.05</v>
      </c>
      <c r="B2532" t="s">
        <v>99</v>
      </c>
      <c r="C2532">
        <v>-0.44</v>
      </c>
      <c r="D2532">
        <v>-0.47223080442042559</v>
      </c>
      <c r="E2532">
        <v>8.3855978178368165E-2</v>
      </c>
      <c r="F2532">
        <v>137.29607329096305</v>
      </c>
    </row>
    <row r="2533" spans="1:6" x14ac:dyDescent="0.3">
      <c r="A2533">
        <v>0.05</v>
      </c>
      <c r="B2533" t="s">
        <v>99</v>
      </c>
      <c r="C2533">
        <v>-0.43</v>
      </c>
      <c r="D2533">
        <v>-0.45989668121267852</v>
      </c>
      <c r="E2533">
        <v>8.3603759817909518E-2</v>
      </c>
      <c r="F2533">
        <v>140.59728535771984</v>
      </c>
    </row>
    <row r="2534" spans="1:6" x14ac:dyDescent="0.3">
      <c r="A2534">
        <v>0.05</v>
      </c>
      <c r="B2534" t="s">
        <v>99</v>
      </c>
      <c r="C2534">
        <v>-0.42</v>
      </c>
      <c r="D2534">
        <v>-0.4476920235274206</v>
      </c>
      <c r="E2534">
        <v>8.3343998304271777E-2</v>
      </c>
      <c r="F2534">
        <v>144.02848760020146</v>
      </c>
    </row>
    <row r="2535" spans="1:6" x14ac:dyDescent="0.3">
      <c r="A2535">
        <v>0.05</v>
      </c>
      <c r="B2535" t="s">
        <v>99</v>
      </c>
      <c r="C2535">
        <v>-0.41</v>
      </c>
      <c r="D2535">
        <v>-0.43561122323622431</v>
      </c>
      <c r="E2535">
        <v>8.3076276092538495E-2</v>
      </c>
      <c r="F2535">
        <v>147.59864305279237</v>
      </c>
    </row>
    <row r="2536" spans="1:6" x14ac:dyDescent="0.3">
      <c r="A2536">
        <v>0.05</v>
      </c>
      <c r="B2536" t="s">
        <v>99</v>
      </c>
      <c r="C2536">
        <v>-0.4</v>
      </c>
      <c r="D2536">
        <v>-0.42364893019360178</v>
      </c>
      <c r="E2536">
        <v>8.2800122488955907E-2</v>
      </c>
      <c r="F2536">
        <v>151.31755229512405</v>
      </c>
    </row>
    <row r="2537" spans="1:6" x14ac:dyDescent="0.3">
      <c r="A2537">
        <v>0.05</v>
      </c>
      <c r="B2537" t="s">
        <v>99</v>
      </c>
      <c r="C2537">
        <v>-0.39</v>
      </c>
      <c r="D2537">
        <v>-0.41180003447869035</v>
      </c>
      <c r="E2537">
        <v>8.2515037962811441E-2</v>
      </c>
      <c r="F2537">
        <v>155.19592295506223</v>
      </c>
    </row>
    <row r="2538" spans="1:6" x14ac:dyDescent="0.3">
      <c r="A2538">
        <v>0.05</v>
      </c>
      <c r="B2538" t="s">
        <v>99</v>
      </c>
      <c r="C2538">
        <v>-0.38</v>
      </c>
      <c r="D2538">
        <v>-0.40005965005605654</v>
      </c>
      <c r="E2538">
        <v>8.2220503179086871E-2</v>
      </c>
      <c r="F2538">
        <v>159.24546543383724</v>
      </c>
    </row>
    <row r="2539" spans="1:6" x14ac:dyDescent="0.3">
      <c r="A2539">
        <v>0.05</v>
      </c>
      <c r="B2539" t="s">
        <v>99</v>
      </c>
      <c r="C2539">
        <v>-0.37</v>
      </c>
      <c r="D2539">
        <v>-0.38842309971829614</v>
      </c>
      <c r="E2539">
        <v>8.1915906460465121E-2</v>
      </c>
      <c r="F2539">
        <v>163.47910096385255</v>
      </c>
    </row>
    <row r="2540" spans="1:6" x14ac:dyDescent="0.3">
      <c r="A2540">
        <v>0.05</v>
      </c>
      <c r="B2540" t="s">
        <v>99</v>
      </c>
      <c r="C2540">
        <v>-0.36</v>
      </c>
      <c r="D2540">
        <v>-0.37688590118819004</v>
      </c>
      <c r="E2540">
        <v>8.1600662996395762E-2</v>
      </c>
      <c r="F2540">
        <v>167.9109637519407</v>
      </c>
    </row>
    <row r="2541" spans="1:6" x14ac:dyDescent="0.3">
      <c r="A2541">
        <v>0.05</v>
      </c>
      <c r="B2541" t="s">
        <v>99</v>
      </c>
      <c r="C2541">
        <v>-0.35</v>
      </c>
      <c r="D2541">
        <v>-0.36544375427139619</v>
      </c>
      <c r="E2541">
        <v>8.1274080052912229E-2</v>
      </c>
      <c r="F2541">
        <v>172.55672578928784</v>
      </c>
    </row>
    <row r="2542" spans="1:6" x14ac:dyDescent="0.3">
      <c r="A2542">
        <v>0.05</v>
      </c>
      <c r="B2542" t="s">
        <v>99</v>
      </c>
      <c r="C2542">
        <v>-0.34</v>
      </c>
      <c r="D2542">
        <v>-0.35409252896224297</v>
      </c>
      <c r="E2542">
        <v>8.0935428348833341E-2</v>
      </c>
      <c r="F2542">
        <v>177.43370378039771</v>
      </c>
    </row>
    <row r="2543" spans="1:6" x14ac:dyDescent="0.3">
      <c r="A2543">
        <v>0.05</v>
      </c>
      <c r="B2543" t="s">
        <v>99</v>
      </c>
      <c r="C2543">
        <v>-0.33</v>
      </c>
      <c r="D2543">
        <v>-0.34282825441539394</v>
      </c>
      <c r="E2543">
        <v>8.058390520503389E-2</v>
      </c>
      <c r="F2543">
        <v>182.56112891324037</v>
      </c>
    </row>
    <row r="2544" spans="1:6" x14ac:dyDescent="0.3">
      <c r="A2544">
        <v>0.05</v>
      </c>
      <c r="B2544" t="s">
        <v>99</v>
      </c>
      <c r="C2544">
        <v>-0.32</v>
      </c>
      <c r="D2544">
        <v>-0.3316471087051322</v>
      </c>
      <c r="E2544">
        <v>8.0218640882625508E-2</v>
      </c>
      <c r="F2544">
        <v>187.96040118440999</v>
      </c>
    </row>
    <row r="2545" spans="1:6" x14ac:dyDescent="0.3">
      <c r="A2545">
        <v>0.05</v>
      </c>
      <c r="B2545" t="s">
        <v>99</v>
      </c>
      <c r="C2545">
        <v>-0.31</v>
      </c>
      <c r="D2545">
        <v>-0.32054540930194608</v>
      </c>
      <c r="E2545">
        <v>7.9838725892161594E-2</v>
      </c>
      <c r="F2545">
        <v>193.65535455577648</v>
      </c>
    </row>
    <row r="2546" spans="1:6" x14ac:dyDescent="0.3">
      <c r="A2546">
        <v>0.05</v>
      </c>
      <c r="B2546" t="s">
        <v>99</v>
      </c>
      <c r="C2546">
        <v>-0.3</v>
      </c>
      <c r="D2546">
        <v>-0.30951960420311175</v>
      </c>
      <c r="E2546">
        <v>7.9443085701339594E-2</v>
      </c>
      <c r="F2546">
        <v>199.67280435393695</v>
      </c>
    </row>
    <row r="2547" spans="1:6" x14ac:dyDescent="0.3">
      <c r="A2547">
        <v>0.05</v>
      </c>
      <c r="B2547" t="s">
        <v>99</v>
      </c>
      <c r="C2547">
        <v>-0.28999999999999998</v>
      </c>
      <c r="D2547">
        <v>-0.29856626366017835</v>
      </c>
      <c r="E2547">
        <v>7.9030626621306291E-2</v>
      </c>
      <c r="F2547">
        <v>206.04276366359773</v>
      </c>
    </row>
    <row r="2548" spans="1:6" x14ac:dyDescent="0.3">
      <c r="A2548">
        <v>0.05</v>
      </c>
      <c r="B2548" t="s">
        <v>99</v>
      </c>
      <c r="C2548">
        <v>-0.28000000000000003</v>
      </c>
      <c r="D2548">
        <v>-0.2876820724517809</v>
      </c>
      <c r="E2548">
        <v>7.8600091267900699E-2</v>
      </c>
      <c r="F2548">
        <v>212.79917760327146</v>
      </c>
    </row>
    <row r="2549" spans="1:6" x14ac:dyDescent="0.3">
      <c r="A2549">
        <v>0.05</v>
      </c>
      <c r="B2549" t="s">
        <v>99</v>
      </c>
      <c r="C2549">
        <v>-0.27</v>
      </c>
      <c r="D2549">
        <v>-0.27686382265510007</v>
      </c>
      <c r="E2549">
        <v>7.8150098393998113E-2</v>
      </c>
      <c r="F2549">
        <v>219.98048785115259</v>
      </c>
    </row>
    <row r="2550" spans="1:6" x14ac:dyDescent="0.3">
      <c r="A2550">
        <v>0.05</v>
      </c>
      <c r="B2550" t="s">
        <v>99</v>
      </c>
      <c r="C2550">
        <v>-0.26</v>
      </c>
      <c r="D2550">
        <v>-0.26610840687365411</v>
      </c>
      <c r="E2550">
        <v>7.767913845840671E-2</v>
      </c>
      <c r="F2550">
        <v>227.63038677581122</v>
      </c>
    </row>
    <row r="2551" spans="1:6" x14ac:dyDescent="0.3">
      <c r="A2551">
        <v>0.05</v>
      </c>
      <c r="B2551" t="s">
        <v>99</v>
      </c>
      <c r="C2551">
        <v>-0.25</v>
      </c>
      <c r="D2551">
        <v>-0.25541281188299536</v>
      </c>
      <c r="E2551">
        <v>7.7185547185649642E-2</v>
      </c>
      <c r="F2551">
        <v>235.7987699573797</v>
      </c>
    </row>
    <row r="2552" spans="1:6" x14ac:dyDescent="0.3">
      <c r="A2552">
        <v>0.05</v>
      </c>
      <c r="B2552" t="s">
        <v>99</v>
      </c>
      <c r="C2552">
        <v>-0.24</v>
      </c>
      <c r="D2552">
        <v>-0.24477411265935289</v>
      </c>
      <c r="E2552">
        <v>7.6667446304465217E-2</v>
      </c>
      <c r="F2552">
        <v>244.54296256636476</v>
      </c>
    </row>
    <row r="2553" spans="1:6" x14ac:dyDescent="0.3">
      <c r="A2553">
        <v>0.05</v>
      </c>
      <c r="B2553" t="s">
        <v>99</v>
      </c>
      <c r="C2553">
        <v>-0.23</v>
      </c>
      <c r="D2553">
        <v>-0.23418946675936678</v>
      </c>
      <c r="E2553">
        <v>7.6122762149321774E-2</v>
      </c>
      <c r="F2553">
        <v>253.92906131940822</v>
      </c>
    </row>
    <row r="2554" spans="1:6" x14ac:dyDescent="0.3">
      <c r="A2554">
        <v>0.05</v>
      </c>
      <c r="B2554" t="s">
        <v>99</v>
      </c>
      <c r="C2554">
        <v>-0.22</v>
      </c>
      <c r="D2554">
        <v>-0.22365610902183239</v>
      </c>
      <c r="E2554">
        <v>7.5549167496006361E-2</v>
      </c>
      <c r="F2554">
        <v>264.03375656378165</v>
      </c>
    </row>
    <row r="2555" spans="1:6" x14ac:dyDescent="0.3">
      <c r="A2555">
        <v>0.05</v>
      </c>
      <c r="B2555" t="s">
        <v>99</v>
      </c>
      <c r="C2555">
        <v>-0.21</v>
      </c>
      <c r="D2555">
        <v>-0.21317134656485975</v>
      </c>
      <c r="E2555">
        <v>7.4944016759948801E-2</v>
      </c>
      <c r="F2555">
        <v>274.94662066000842</v>
      </c>
    </row>
    <row r="2556" spans="1:6" x14ac:dyDescent="0.3">
      <c r="A2556">
        <v>0.05</v>
      </c>
      <c r="B2556" t="s">
        <v>99</v>
      </c>
      <c r="C2556">
        <v>-0.2</v>
      </c>
      <c r="D2556">
        <v>-0.20273255405408214</v>
      </c>
      <c r="E2556">
        <v>7.4304376350097096E-2</v>
      </c>
      <c r="F2556">
        <v>286.77274881935801</v>
      </c>
    </row>
    <row r="2557" spans="1:6" x14ac:dyDescent="0.3">
      <c r="A2557">
        <v>0.05</v>
      </c>
      <c r="B2557" t="s">
        <v>99</v>
      </c>
      <c r="C2557">
        <v>-0.19</v>
      </c>
      <c r="D2557">
        <v>-0.1923371692195453</v>
      </c>
      <c r="E2557">
        <v>7.3626866497338253E-2</v>
      </c>
      <c r="F2557">
        <v>299.63659265792785</v>
      </c>
    </row>
    <row r="2558" spans="1:6" x14ac:dyDescent="0.3">
      <c r="A2558">
        <v>0.05</v>
      </c>
      <c r="B2558" t="s">
        <v>99</v>
      </c>
      <c r="C2558">
        <v>-0.18</v>
      </c>
      <c r="D2558">
        <v>-0.18198268860070579</v>
      </c>
      <c r="E2558">
        <v>7.2907653433794989E-2</v>
      </c>
      <c r="F2558">
        <v>313.68647197338163</v>
      </c>
    </row>
    <row r="2559" spans="1:6" x14ac:dyDescent="0.3">
      <c r="A2559">
        <v>0.05</v>
      </c>
      <c r="B2559" t="s">
        <v>99</v>
      </c>
      <c r="C2559">
        <v>-0.17</v>
      </c>
      <c r="D2559">
        <v>-0.17166666350057908</v>
      </c>
      <c r="E2559">
        <v>7.2142353089900829E-2</v>
      </c>
      <c r="F2559">
        <v>329.10067486559268</v>
      </c>
    </row>
    <row r="2560" spans="1:6" x14ac:dyDescent="0.3">
      <c r="A2560">
        <v>0.05</v>
      </c>
      <c r="B2560" t="s">
        <v>99</v>
      </c>
      <c r="C2560">
        <v>-0.16</v>
      </c>
      <c r="D2560">
        <v>-0.16138669613152551</v>
      </c>
      <c r="E2560">
        <v>7.1325878267621989E-2</v>
      </c>
      <c r="F2560">
        <v>346.09565214256571</v>
      </c>
    </row>
    <row r="2561" spans="1:6" x14ac:dyDescent="0.3">
      <c r="A2561">
        <v>0.05</v>
      </c>
      <c r="B2561" t="s">
        <v>99</v>
      </c>
      <c r="C2561">
        <v>-0.15</v>
      </c>
      <c r="D2561">
        <v>-0.15114043593646675</v>
      </c>
      <c r="E2561">
        <v>7.0452333040217557E-2</v>
      </c>
      <c r="F2561">
        <v>364.93677925194521</v>
      </c>
    </row>
    <row r="2562" spans="1:6" x14ac:dyDescent="0.3">
      <c r="A2562">
        <v>0.05</v>
      </c>
      <c r="B2562" t="s">
        <v>99</v>
      </c>
      <c r="C2562">
        <v>-0.14000000000000001</v>
      </c>
      <c r="D2562">
        <v>-0.14092557607049394</v>
      </c>
      <c r="E2562">
        <v>6.9514798938791741E-2</v>
      </c>
      <c r="F2562">
        <v>385.95330520663128</v>
      </c>
    </row>
    <row r="2563" spans="1:6" x14ac:dyDescent="0.3">
      <c r="A2563">
        <v>0.05</v>
      </c>
      <c r="B2563" t="s">
        <v>99</v>
      </c>
      <c r="C2563">
        <v>-0.13</v>
      </c>
      <c r="D2563">
        <v>-0.13073985002887836</v>
      </c>
      <c r="E2563">
        <v>6.850513689604891E-2</v>
      </c>
      <c r="F2563">
        <v>409.5588759372925</v>
      </c>
    </row>
    <row r="2564" spans="1:6" x14ac:dyDescent="0.3">
      <c r="A2564">
        <v>0.05</v>
      </c>
      <c r="B2564" t="s">
        <v>99</v>
      </c>
      <c r="C2564">
        <v>-0.12</v>
      </c>
      <c r="D2564">
        <v>-0.12058102840844405</v>
      </c>
      <c r="E2564">
        <v>6.7413598986444917E-2</v>
      </c>
      <c r="F2564">
        <v>436.28116695589313</v>
      </c>
    </row>
    <row r="2565" spans="1:6" x14ac:dyDescent="0.3">
      <c r="A2565">
        <v>0.05</v>
      </c>
      <c r="B2565" t="s">
        <v>99</v>
      </c>
      <c r="C2565">
        <v>-0.11</v>
      </c>
      <c r="D2565">
        <v>-0.1104469157900972</v>
      </c>
      <c r="E2565">
        <v>6.6228436926773035E-2</v>
      </c>
      <c r="F2565">
        <v>466.80446987983362</v>
      </c>
    </row>
    <row r="2566" spans="1:6" x14ac:dyDescent="0.3">
      <c r="A2566">
        <v>0.05</v>
      </c>
      <c r="B2566" t="s">
        <v>99</v>
      </c>
      <c r="C2566">
        <v>-0.1</v>
      </c>
      <c r="D2566">
        <v>-0.10033534773107562</v>
      </c>
      <c r="E2566">
        <v>6.4935316562690387E-2</v>
      </c>
      <c r="F2566">
        <v>502.03341436979775</v>
      </c>
    </row>
    <row r="2567" spans="1:6" x14ac:dyDescent="0.3">
      <c r="A2567">
        <v>0.05</v>
      </c>
      <c r="B2567" t="s">
        <v>99</v>
      </c>
      <c r="C2567">
        <v>-0.09</v>
      </c>
      <c r="D2567">
        <v>-9.0244187856146837E-2</v>
      </c>
      <c r="E2567">
        <v>6.3516406326107777E-2</v>
      </c>
      <c r="F2567">
        <v>543.19155790138473</v>
      </c>
    </row>
    <row r="2568" spans="1:6" x14ac:dyDescent="0.3">
      <c r="A2568">
        <v>0.05</v>
      </c>
      <c r="B2568" t="s">
        <v>99</v>
      </c>
      <c r="C2568">
        <v>-0.08</v>
      </c>
      <c r="D2568">
        <v>-8.0171325037589683E-2</v>
      </c>
      <c r="E2568">
        <v>6.194921773469253E-2</v>
      </c>
      <c r="F2568">
        <v>591.97788442124465</v>
      </c>
    </row>
    <row r="2569" spans="1:6" x14ac:dyDescent="0.3">
      <c r="A2569">
        <v>0.05</v>
      </c>
      <c r="B2569" t="s">
        <v>99</v>
      </c>
      <c r="C2569">
        <v>-7.0000000000000007E-2</v>
      </c>
      <c r="D2569">
        <v>-7.0114670654325195E-2</v>
      </c>
      <c r="E2569">
        <v>6.0204688470519449E-2</v>
      </c>
      <c r="F2569">
        <v>650.82855930698054</v>
      </c>
    </row>
    <row r="2570" spans="1:6" x14ac:dyDescent="0.3">
      <c r="A2570">
        <v>0.05</v>
      </c>
      <c r="B2570" t="s">
        <v>99</v>
      </c>
      <c r="C2570">
        <v>-0.06</v>
      </c>
      <c r="D2570">
        <v>-6.007215592103167E-2</v>
      </c>
      <c r="E2570">
        <v>5.8244191782478111E-2</v>
      </c>
      <c r="F2570">
        <v>723.37659175141835</v>
      </c>
    </row>
    <row r="2571" spans="1:6" x14ac:dyDescent="0.3">
      <c r="A2571">
        <v>0.05</v>
      </c>
      <c r="B2571" t="s">
        <v>99</v>
      </c>
      <c r="C2571">
        <v>-0.05</v>
      </c>
      <c r="D2571">
        <v>-5.0041729278491327E-2</v>
      </c>
      <c r="E2571">
        <v>5.6014707225909947E-2</v>
      </c>
      <c r="F2571">
        <v>815.31161242025144</v>
      </c>
    </row>
    <row r="2572" spans="1:6" x14ac:dyDescent="0.3">
      <c r="A2572">
        <v>0.05</v>
      </c>
      <c r="B2572" t="s">
        <v>99</v>
      </c>
      <c r="C2572">
        <v>-0.04</v>
      </c>
      <c r="D2572">
        <v>-4.0021353836768248E-2</v>
      </c>
      <c r="E2572">
        <v>5.3439906577215E-2</v>
      </c>
      <c r="F2572">
        <v>936.1319995621451</v>
      </c>
    </row>
    <row r="2573" spans="1:6" x14ac:dyDescent="0.3">
      <c r="A2573">
        <v>0.05</v>
      </c>
      <c r="B2573" t="s">
        <v>99</v>
      </c>
      <c r="C2573">
        <v>-0.03</v>
      </c>
      <c r="D2573">
        <v>-3.000900486312652E-2</v>
      </c>
      <c r="E2573">
        <v>5.0402744782342725E-2</v>
      </c>
      <c r="F2573">
        <v>1103.1253406525063</v>
      </c>
    </row>
    <row r="2574" spans="1:6" x14ac:dyDescent="0.3">
      <c r="A2574">
        <v>0.05</v>
      </c>
      <c r="B2574" t="s">
        <v>99</v>
      </c>
      <c r="C2574">
        <v>-0.02</v>
      </c>
      <c r="D2574">
        <v>-2.0002667306849624E-2</v>
      </c>
      <c r="E2574">
        <v>4.6706503847641884E-2</v>
      </c>
      <c r="F2574">
        <v>1351.9277887726228</v>
      </c>
    </row>
    <row r="2575" spans="1:6" x14ac:dyDescent="0.3">
      <c r="A2575">
        <v>0.05</v>
      </c>
      <c r="B2575" t="s">
        <v>99</v>
      </c>
      <c r="C2575">
        <v>-0.01</v>
      </c>
      <c r="D2575">
        <v>-1.0000333353334771E-2</v>
      </c>
      <c r="E2575">
        <v>4.1966409009032313E-2</v>
      </c>
      <c r="F2575">
        <v>1772.184859976318</v>
      </c>
    </row>
    <row r="2576" spans="1:6" x14ac:dyDescent="0.3">
      <c r="A2576">
        <v>0.01</v>
      </c>
      <c r="B2576" t="s">
        <v>99</v>
      </c>
      <c r="C2576">
        <v>-0.99</v>
      </c>
      <c r="D2576">
        <v>-2.6466524123622457</v>
      </c>
      <c r="E2576">
        <v>0.1237838348719692</v>
      </c>
      <c r="F2576">
        <v>24.018348432450679</v>
      </c>
    </row>
    <row r="2577" spans="1:6" x14ac:dyDescent="0.3">
      <c r="A2577">
        <v>0.01</v>
      </c>
      <c r="B2577" t="s">
        <v>99</v>
      </c>
      <c r="C2577">
        <v>-0.98</v>
      </c>
      <c r="D2577">
        <v>-2.2975599250672945</v>
      </c>
      <c r="E2577">
        <v>0.12334171075862779</v>
      </c>
      <c r="F2577">
        <v>27.128262224511406</v>
      </c>
    </row>
    <row r="2578" spans="1:6" x14ac:dyDescent="0.3">
      <c r="A2578">
        <v>0.01</v>
      </c>
      <c r="B2578" t="s">
        <v>99</v>
      </c>
      <c r="C2578">
        <v>-0.97</v>
      </c>
      <c r="D2578">
        <v>-2.0922957200349388</v>
      </c>
      <c r="E2578">
        <v>0.12301783415022792</v>
      </c>
      <c r="F2578">
        <v>29.42767500835852</v>
      </c>
    </row>
    <row r="2579" spans="1:6" x14ac:dyDescent="0.3">
      <c r="A2579">
        <v>0.01</v>
      </c>
      <c r="B2579" t="s">
        <v>99</v>
      </c>
      <c r="C2579">
        <v>-0.96</v>
      </c>
      <c r="D2579">
        <v>-1.9459101490553128</v>
      </c>
      <c r="E2579">
        <v>0.12274834711956546</v>
      </c>
      <c r="F2579">
        <v>31.354905083033817</v>
      </c>
    </row>
    <row r="2580" spans="1:6" x14ac:dyDescent="0.3">
      <c r="A2580">
        <v>0.01</v>
      </c>
      <c r="B2580" t="s">
        <v>99</v>
      </c>
      <c r="C2580">
        <v>-0.95</v>
      </c>
      <c r="D2580">
        <v>-1.8317808230648227</v>
      </c>
      <c r="E2580">
        <v>0.12251078994480227</v>
      </c>
      <c r="F2580">
        <v>33.064340691597295</v>
      </c>
    </row>
    <row r="2581" spans="1:6" x14ac:dyDescent="0.3">
      <c r="A2581">
        <v>0.01</v>
      </c>
      <c r="B2581" t="s">
        <v>99</v>
      </c>
      <c r="C2581">
        <v>-0.94</v>
      </c>
      <c r="D2581">
        <v>-1.7380493449176362</v>
      </c>
      <c r="E2581">
        <v>0.12229434110439072</v>
      </c>
      <c r="F2581">
        <v>34.630534846132413</v>
      </c>
    </row>
    <row r="2582" spans="1:6" x14ac:dyDescent="0.3">
      <c r="A2582">
        <v>0.01</v>
      </c>
      <c r="B2582" t="s">
        <v>99</v>
      </c>
      <c r="C2582">
        <v>-0.93</v>
      </c>
      <c r="D2582">
        <v>-1.6583900199247865</v>
      </c>
      <c r="E2582">
        <v>0.1220928607210857</v>
      </c>
      <c r="F2582">
        <v>36.095895694907263</v>
      </c>
    </row>
    <row r="2583" spans="1:6" x14ac:dyDescent="0.3">
      <c r="A2583">
        <v>0.01</v>
      </c>
      <c r="B2583" t="s">
        <v>99</v>
      </c>
      <c r="C2583">
        <v>-0.92</v>
      </c>
      <c r="D2583">
        <v>-1.5890269151739731</v>
      </c>
      <c r="E2583">
        <v>0.12190249872980999</v>
      </c>
      <c r="F2583">
        <v>37.487164908924555</v>
      </c>
    </row>
    <row r="2584" spans="1:6" x14ac:dyDescent="0.3">
      <c r="A2584">
        <v>0.01</v>
      </c>
      <c r="B2584" t="s">
        <v>99</v>
      </c>
      <c r="C2584">
        <v>-0.91</v>
      </c>
      <c r="D2584">
        <v>-1.5275244253552054</v>
      </c>
      <c r="E2584">
        <v>0.12172061612168548</v>
      </c>
      <c r="F2584">
        <v>38.822475735001035</v>
      </c>
    </row>
    <row r="2585" spans="1:6" x14ac:dyDescent="0.3">
      <c r="A2585">
        <v>0.01</v>
      </c>
      <c r="B2585" t="s">
        <v>99</v>
      </c>
      <c r="C2585">
        <v>-0.9</v>
      </c>
      <c r="D2585">
        <v>-1.4722194895832204</v>
      </c>
      <c r="E2585">
        <v>0.12154536570188547</v>
      </c>
      <c r="F2585">
        <v>40.114787326485917</v>
      </c>
    </row>
    <row r="2586" spans="1:6" x14ac:dyDescent="0.3">
      <c r="A2586">
        <v>0.01</v>
      </c>
      <c r="B2586" t="s">
        <v>99</v>
      </c>
      <c r="C2586">
        <v>-0.89</v>
      </c>
      <c r="D2586">
        <v>-1.421925871130636</v>
      </c>
      <c r="E2586">
        <v>0.12137536574009956</v>
      </c>
      <c r="F2586">
        <v>41.373768012181323</v>
      </c>
    </row>
    <row r="2587" spans="1:6" x14ac:dyDescent="0.3">
      <c r="A2587">
        <v>0.01</v>
      </c>
      <c r="B2587" t="s">
        <v>99</v>
      </c>
      <c r="C2587">
        <v>-0.88</v>
      </c>
      <c r="D2587">
        <v>-1.3757676565209744</v>
      </c>
      <c r="E2587">
        <v>0.1212095392823344</v>
      </c>
      <c r="F2587">
        <v>42.606885330923689</v>
      </c>
    </row>
    <row r="2588" spans="1:6" x14ac:dyDescent="0.3">
      <c r="A2588">
        <v>0.01</v>
      </c>
      <c r="B2588" t="s">
        <v>99</v>
      </c>
      <c r="C2588">
        <v>-0.87</v>
      </c>
      <c r="D2588">
        <v>-1.333079629696525</v>
      </c>
      <c r="E2588">
        <v>0.12104706514377828</v>
      </c>
      <c r="F2588">
        <v>43.820063129914068</v>
      </c>
    </row>
    <row r="2589" spans="1:6" x14ac:dyDescent="0.3">
      <c r="A2589">
        <v>0.01</v>
      </c>
      <c r="B2589" t="s">
        <v>99</v>
      </c>
      <c r="C2589">
        <v>-0.86</v>
      </c>
      <c r="D2589">
        <v>-1.2933446720489712</v>
      </c>
      <c r="E2589">
        <v>0.12088724485418564</v>
      </c>
      <c r="F2589">
        <v>45.018136298118776</v>
      </c>
    </row>
    <row r="2590" spans="1:6" x14ac:dyDescent="0.3">
      <c r="A2590">
        <v>0.01</v>
      </c>
      <c r="B2590" t="s">
        <v>99</v>
      </c>
      <c r="C2590">
        <v>-0.85</v>
      </c>
      <c r="D2590">
        <v>-1.2561528119880574</v>
      </c>
      <c r="E2590">
        <v>0.12072952610958984</v>
      </c>
      <c r="F2590">
        <v>46.205122121438123</v>
      </c>
    </row>
    <row r="2591" spans="1:6" x14ac:dyDescent="0.3">
      <c r="A2591">
        <v>0.01</v>
      </c>
      <c r="B2591" t="s">
        <v>99</v>
      </c>
      <c r="C2591">
        <v>-0.84</v>
      </c>
      <c r="D2591">
        <v>-1.2211735176846021</v>
      </c>
      <c r="E2591">
        <v>0.12057344274875148</v>
      </c>
      <c r="F2591">
        <v>47.384431390693329</v>
      </c>
    </row>
    <row r="2592" spans="1:6" x14ac:dyDescent="0.3">
      <c r="A2592">
        <v>0.01</v>
      </c>
      <c r="B2592" t="s">
        <v>99</v>
      </c>
      <c r="C2592">
        <v>-0.83</v>
      </c>
      <c r="D2592">
        <v>-1.1881364043926024</v>
      </c>
      <c r="E2592">
        <v>0.12041858425542838</v>
      </c>
      <c r="F2592">
        <v>48.559015956883108</v>
      </c>
    </row>
    <row r="2593" spans="1:6" x14ac:dyDescent="0.3">
      <c r="A2593">
        <v>0.01</v>
      </c>
      <c r="B2593" t="s">
        <v>99</v>
      </c>
      <c r="C2593">
        <v>-0.82</v>
      </c>
      <c r="D2593">
        <v>-1.1568174645903151</v>
      </c>
      <c r="E2593">
        <v>0.12026459675539287</v>
      </c>
      <c r="F2593">
        <v>49.731468763567428</v>
      </c>
    </row>
    <row r="2594" spans="1:6" x14ac:dyDescent="0.3">
      <c r="A2594">
        <v>0.01</v>
      </c>
      <c r="B2594" t="s">
        <v>99</v>
      </c>
      <c r="C2594">
        <v>-0.81</v>
      </c>
      <c r="D2594">
        <v>-1.1270290260496929</v>
      </c>
      <c r="E2594">
        <v>0.12011118554998625</v>
      </c>
      <c r="F2594">
        <v>50.904097165053798</v>
      </c>
    </row>
    <row r="2595" spans="1:6" x14ac:dyDescent="0.3">
      <c r="A2595">
        <v>0.01</v>
      </c>
      <c r="B2595" t="s">
        <v>99</v>
      </c>
      <c r="C2595">
        <v>-0.8</v>
      </c>
      <c r="D2595">
        <v>-1.0986122886681098</v>
      </c>
      <c r="E2595">
        <v>0.11995805115882981</v>
      </c>
      <c r="F2595">
        <v>52.079002901520539</v>
      </c>
    </row>
    <row r="2596" spans="1:6" x14ac:dyDescent="0.3">
      <c r="A2596">
        <v>0.01</v>
      </c>
      <c r="B2596" t="s">
        <v>99</v>
      </c>
      <c r="C2596">
        <v>-0.79</v>
      </c>
      <c r="D2596">
        <v>-1.0714316840586662</v>
      </c>
      <c r="E2596">
        <v>0.11980496786048184</v>
      </c>
      <c r="F2596">
        <v>53.258097302949729</v>
      </c>
    </row>
    <row r="2597" spans="1:6" x14ac:dyDescent="0.3">
      <c r="A2597">
        <v>0.01</v>
      </c>
      <c r="B2597" t="s">
        <v>99</v>
      </c>
      <c r="C2597">
        <v>-0.78</v>
      </c>
      <c r="D2597">
        <v>-1.0453705484668847</v>
      </c>
      <c r="E2597">
        <v>0.11965169292366959</v>
      </c>
      <c r="F2597">
        <v>54.443169673245663</v>
      </c>
    </row>
    <row r="2598" spans="1:6" x14ac:dyDescent="0.3">
      <c r="A2598">
        <v>0.01</v>
      </c>
      <c r="B2598" t="s">
        <v>99</v>
      </c>
      <c r="C2598">
        <v>-0.77</v>
      </c>
      <c r="D2598">
        <v>-1.0203277583223398</v>
      </c>
      <c r="E2598">
        <v>0.11949801890321374</v>
      </c>
      <c r="F2598">
        <v>55.63589553082624</v>
      </c>
    </row>
    <row r="2599" spans="1:6" x14ac:dyDescent="0.3">
      <c r="A2599">
        <v>0.01</v>
      </c>
      <c r="B2599" t="s">
        <v>99</v>
      </c>
      <c r="C2599">
        <v>-0.76</v>
      </c>
      <c r="D2599">
        <v>-0.99621508234510314</v>
      </c>
      <c r="E2599">
        <v>0.11934374842300986</v>
      </c>
      <c r="F2599">
        <v>56.83786880148444</v>
      </c>
    </row>
    <row r="2600" spans="1:6" x14ac:dyDescent="0.3">
      <c r="A2600">
        <v>0.01</v>
      </c>
      <c r="B2600" t="s">
        <v>99</v>
      </c>
      <c r="C2600">
        <v>-0.75</v>
      </c>
      <c r="D2600">
        <v>-0.97295507452765673</v>
      </c>
      <c r="E2600">
        <v>0.11918871107375086</v>
      </c>
      <c r="F2600">
        <v>58.050613437330426</v>
      </c>
    </row>
    <row r="2601" spans="1:6" x14ac:dyDescent="0.3">
      <c r="A2601">
        <v>0.01</v>
      </c>
      <c r="B2601" t="s">
        <v>99</v>
      </c>
      <c r="C2601">
        <v>-0.74</v>
      </c>
      <c r="D2601">
        <v>-0.95047938059652348</v>
      </c>
      <c r="E2601">
        <v>0.11903271096067687</v>
      </c>
      <c r="F2601">
        <v>59.275621267712673</v>
      </c>
    </row>
    <row r="2602" spans="1:6" x14ac:dyDescent="0.3">
      <c r="A2602">
        <v>0.01</v>
      </c>
      <c r="B2602" t="s">
        <v>99</v>
      </c>
      <c r="C2602">
        <v>-0.73</v>
      </c>
      <c r="D2602">
        <v>-0.92872736424672497</v>
      </c>
      <c r="E2602">
        <v>0.11887557999589178</v>
      </c>
      <c r="F2602">
        <v>60.514343286581834</v>
      </c>
    </row>
    <row r="2603" spans="1:6" x14ac:dyDescent="0.3">
      <c r="A2603">
        <v>0.01</v>
      </c>
      <c r="B2603" t="s">
        <v>99</v>
      </c>
      <c r="C2603">
        <v>-0.72</v>
      </c>
      <c r="D2603">
        <v>-0.90764498331912458</v>
      </c>
      <c r="E2603">
        <v>0.11871716805462938</v>
      </c>
      <c r="F2603">
        <v>61.76820477281899</v>
      </c>
    </row>
    <row r="2604" spans="1:6" x14ac:dyDescent="0.3">
      <c r="A2604">
        <v>0.01</v>
      </c>
      <c r="B2604" t="s">
        <v>99</v>
      </c>
      <c r="C2604">
        <v>-0.71</v>
      </c>
      <c r="D2604">
        <v>-0.88718386325809284</v>
      </c>
      <c r="E2604">
        <v>0.11855729583489936</v>
      </c>
      <c r="F2604">
        <v>63.038637070385079</v>
      </c>
    </row>
    <row r="2605" spans="1:6" x14ac:dyDescent="0.3">
      <c r="A2605">
        <v>0.01</v>
      </c>
      <c r="B2605" t="s">
        <v>99</v>
      </c>
      <c r="C2605">
        <v>-0.7</v>
      </c>
      <c r="D2605">
        <v>-0.86730052769405308</v>
      </c>
      <c r="E2605">
        <v>0.11839582760111243</v>
      </c>
      <c r="F2605">
        <v>64.327053737305505</v>
      </c>
    </row>
    <row r="2606" spans="1:6" x14ac:dyDescent="0.3">
      <c r="A2606">
        <v>0.01</v>
      </c>
      <c r="B2606" t="s">
        <v>99</v>
      </c>
      <c r="C2606">
        <v>-0.69</v>
      </c>
      <c r="D2606">
        <v>-0.84795575521896349</v>
      </c>
      <c r="E2606">
        <v>0.11823260141098239</v>
      </c>
      <c r="F2606">
        <v>65.634891142001905</v>
      </c>
    </row>
    <row r="2607" spans="1:6" x14ac:dyDescent="0.3">
      <c r="A2607">
        <v>0.01</v>
      </c>
      <c r="B2607" t="s">
        <v>99</v>
      </c>
      <c r="C2607">
        <v>-0.68</v>
      </c>
      <c r="D2607">
        <v>-0.82911403830176633</v>
      </c>
      <c r="E2607">
        <v>0.11806746227539626</v>
      </c>
      <c r="F2607">
        <v>66.963601302528033</v>
      </c>
    </row>
    <row r="2608" spans="1:6" x14ac:dyDescent="0.3">
      <c r="A2608">
        <v>0.01</v>
      </c>
      <c r="B2608" t="s">
        <v>99</v>
      </c>
      <c r="C2608">
        <v>-0.67</v>
      </c>
      <c r="D2608">
        <v>-0.81074312547513749</v>
      </c>
      <c r="E2608">
        <v>0.11790024243810397</v>
      </c>
      <c r="F2608">
        <v>68.314669261363733</v>
      </c>
    </row>
    <row r="2609" spans="1:6" x14ac:dyDescent="0.3">
      <c r="A2609">
        <v>0.01</v>
      </c>
      <c r="B2609" t="s">
        <v>99</v>
      </c>
      <c r="C2609">
        <v>-0.66</v>
      </c>
      <c r="D2609">
        <v>-0.79281363187019105</v>
      </c>
      <c r="E2609">
        <v>0.11773078973280847</v>
      </c>
      <c r="F2609">
        <v>69.68960625192851</v>
      </c>
    </row>
    <row r="2610" spans="1:6" x14ac:dyDescent="0.3">
      <c r="A2610">
        <v>0.01</v>
      </c>
      <c r="B2610" t="s">
        <v>99</v>
      </c>
      <c r="C2610">
        <v>-0.65</v>
      </c>
      <c r="D2610">
        <v>-0.7752987062055835</v>
      </c>
      <c r="E2610">
        <v>0.11755897673817502</v>
      </c>
      <c r="F2610">
        <v>71.089951026621222</v>
      </c>
    </row>
    <row r="2611" spans="1:6" x14ac:dyDescent="0.3">
      <c r="A2611">
        <v>0.01</v>
      </c>
      <c r="B2611" t="s">
        <v>99</v>
      </c>
      <c r="C2611">
        <v>-0.64</v>
      </c>
      <c r="D2611">
        <v>-0.7581737446840443</v>
      </c>
      <c r="E2611">
        <v>0.11738460154969889</v>
      </c>
      <c r="F2611">
        <v>72.51732999274725</v>
      </c>
    </row>
    <row r="2612" spans="1:6" x14ac:dyDescent="0.3">
      <c r="A2612">
        <v>0.01</v>
      </c>
      <c r="B2612" t="s">
        <v>99</v>
      </c>
      <c r="C2612">
        <v>-0.63</v>
      </c>
      <c r="D2612">
        <v>-0.74141614408126888</v>
      </c>
      <c r="E2612">
        <v>0.11720752267898257</v>
      </c>
      <c r="F2612">
        <v>73.973393043900415</v>
      </c>
    </row>
    <row r="2613" spans="1:6" x14ac:dyDescent="0.3">
      <c r="A2613">
        <v>0.01</v>
      </c>
      <c r="B2613" t="s">
        <v>99</v>
      </c>
      <c r="C2613">
        <v>-0.62</v>
      </c>
      <c r="D2613">
        <v>-0.72500508775299921</v>
      </c>
      <c r="E2613">
        <v>0.11702757402399512</v>
      </c>
      <c r="F2613">
        <v>75.459865980571777</v>
      </c>
    </row>
    <row r="2614" spans="1:6" x14ac:dyDescent="0.3">
      <c r="A2614">
        <v>0.01</v>
      </c>
      <c r="B2614" t="s">
        <v>99</v>
      </c>
      <c r="C2614">
        <v>-0.61</v>
      </c>
      <c r="D2614">
        <v>-0.7089213594274083</v>
      </c>
      <c r="E2614">
        <v>0.11684457477137862</v>
      </c>
      <c r="F2614">
        <v>76.978553710835399</v>
      </c>
    </row>
    <row r="2615" spans="1:6" x14ac:dyDescent="0.3">
      <c r="A2615">
        <v>0.01</v>
      </c>
      <c r="B2615" t="s">
        <v>99</v>
      </c>
      <c r="C2615">
        <v>-0.6</v>
      </c>
      <c r="D2615">
        <v>-0.69314718055994529</v>
      </c>
      <c r="E2615">
        <v>0.11665833824698321</v>
      </c>
      <c r="F2615">
        <v>78.531343690851017</v>
      </c>
    </row>
    <row r="2616" spans="1:6" x14ac:dyDescent="0.3">
      <c r="A2616">
        <v>0.01</v>
      </c>
      <c r="B2616" t="s">
        <v>99</v>
      </c>
      <c r="C2616">
        <v>-0.59</v>
      </c>
      <c r="D2616">
        <v>-0.67766606775796179</v>
      </c>
      <c r="E2616">
        <v>0.11646872202950573</v>
      </c>
      <c r="F2616">
        <v>80.120183667743987</v>
      </c>
    </row>
    <row r="2617" spans="1:6" x14ac:dyDescent="0.3">
      <c r="A2617">
        <v>0.01</v>
      </c>
      <c r="B2617" t="s">
        <v>99</v>
      </c>
      <c r="C2617">
        <v>-0.57999999999999996</v>
      </c>
      <c r="D2617">
        <v>-0.66246270737179924</v>
      </c>
      <c r="E2617">
        <v>0.11627549355680787</v>
      </c>
      <c r="F2617">
        <v>81.747171903190434</v>
      </c>
    </row>
    <row r="2618" spans="1:6" x14ac:dyDescent="0.3">
      <c r="A2618">
        <v>0.01</v>
      </c>
      <c r="B2618" t="s">
        <v>99</v>
      </c>
      <c r="C2618">
        <v>-0.56999999999999995</v>
      </c>
      <c r="D2618">
        <v>-0.64752284482737277</v>
      </c>
      <c r="E2618">
        <v>0.11607846702831896</v>
      </c>
      <c r="F2618">
        <v>83.414484564751746</v>
      </c>
    </row>
    <row r="2619" spans="1:6" x14ac:dyDescent="0.3">
      <c r="A2619">
        <v>0.01</v>
      </c>
      <c r="B2619" t="s">
        <v>99</v>
      </c>
      <c r="C2619">
        <v>-0.56000000000000005</v>
      </c>
      <c r="D2619">
        <v>-0.63283318666563804</v>
      </c>
      <c r="E2619">
        <v>0.11587745360702771</v>
      </c>
      <c r="F2619">
        <v>85.124415131890188</v>
      </c>
    </row>
    <row r="2620" spans="1:6" x14ac:dyDescent="0.3">
      <c r="A2620">
        <v>0.01</v>
      </c>
      <c r="B2620" t="s">
        <v>99</v>
      </c>
      <c r="C2620">
        <v>-0.55000000000000004</v>
      </c>
      <c r="D2620">
        <v>-0.61838131357446346</v>
      </c>
      <c r="E2620">
        <v>0.11567221646283481</v>
      </c>
      <c r="F2620">
        <v>86.879415627487859</v>
      </c>
    </row>
    <row r="2621" spans="1:6" x14ac:dyDescent="0.3">
      <c r="A2621">
        <v>0.01</v>
      </c>
      <c r="B2621" t="s">
        <v>99</v>
      </c>
      <c r="C2621">
        <v>-0.54</v>
      </c>
      <c r="D2621">
        <v>-0.60415560296226711</v>
      </c>
      <c r="E2621">
        <v>0.11546253405437513</v>
      </c>
      <c r="F2621">
        <v>88.682068196236443</v>
      </c>
    </row>
    <row r="2622" spans="1:6" x14ac:dyDescent="0.3">
      <c r="A2622">
        <v>0.01</v>
      </c>
      <c r="B2622" t="s">
        <v>99</v>
      </c>
      <c r="C2622">
        <v>-0.53</v>
      </c>
      <c r="D2622">
        <v>-0.59014515984118854</v>
      </c>
      <c r="E2622">
        <v>0.11524818133528136</v>
      </c>
      <c r="F2622">
        <v>90.535109855719327</v>
      </c>
    </row>
    <row r="2623" spans="1:6" x14ac:dyDescent="0.3">
      <c r="A2623">
        <v>0.01</v>
      </c>
      <c r="B2623" t="s">
        <v>99</v>
      </c>
      <c r="C2623">
        <v>-0.52</v>
      </c>
      <c r="D2623">
        <v>-0.57633975496919276</v>
      </c>
      <c r="E2623">
        <v>0.11502890055516284</v>
      </c>
      <c r="F2623">
        <v>92.441467730244284</v>
      </c>
    </row>
    <row r="2624" spans="1:6" x14ac:dyDescent="0.3">
      <c r="A2624">
        <v>0.01</v>
      </c>
      <c r="B2624" t="s">
        <v>99</v>
      </c>
      <c r="C2624">
        <v>-0.51</v>
      </c>
      <c r="D2624">
        <v>-0.56272976935214891</v>
      </c>
      <c r="E2624">
        <v>0.11480442468125553</v>
      </c>
      <c r="F2624">
        <v>94.404259590447367</v>
      </c>
    </row>
    <row r="2625" spans="1:6" x14ac:dyDescent="0.3">
      <c r="A2625">
        <v>0.01</v>
      </c>
      <c r="B2625" t="s">
        <v>99</v>
      </c>
      <c r="C2625">
        <v>-0.5</v>
      </c>
      <c r="D2625">
        <v>-0.54930614433405489</v>
      </c>
      <c r="E2625">
        <v>0.11457449917333107</v>
      </c>
      <c r="F2625">
        <v>96.42679481422276</v>
      </c>
    </row>
    <row r="2626" spans="1:6" x14ac:dyDescent="0.3">
      <c r="A2626">
        <v>0.01</v>
      </c>
      <c r="B2626" t="s">
        <v>99</v>
      </c>
      <c r="C2626">
        <v>-0.49</v>
      </c>
      <c r="D2626">
        <v>-0.53606033661056662</v>
      </c>
      <c r="E2626">
        <v>0.11433880671798882</v>
      </c>
      <c r="F2626">
        <v>98.512650333117861</v>
      </c>
    </row>
    <row r="2627" spans="1:6" x14ac:dyDescent="0.3">
      <c r="A2627">
        <v>0.01</v>
      </c>
      <c r="B2627" t="s">
        <v>99</v>
      </c>
      <c r="C2627">
        <v>-0.48</v>
      </c>
      <c r="D2627">
        <v>-0.5229842775913438</v>
      </c>
      <c r="E2627">
        <v>0.11409705255075971</v>
      </c>
      <c r="F2627">
        <v>100.6656287458926</v>
      </c>
    </row>
    <row r="2628" spans="1:6" x14ac:dyDescent="0.3">
      <c r="A2628">
        <v>0.01</v>
      </c>
      <c r="B2628" t="s">
        <v>99</v>
      </c>
      <c r="C2628">
        <v>-0.47</v>
      </c>
      <c r="D2628">
        <v>-0.51007033661330725</v>
      </c>
      <c r="E2628">
        <v>0.1138488922054198</v>
      </c>
      <c r="F2628">
        <v>102.88983806585881</v>
      </c>
    </row>
    <row r="2629" spans="1:6" x14ac:dyDescent="0.3">
      <c r="A2629">
        <v>0.01</v>
      </c>
      <c r="B2629" t="s">
        <v>99</v>
      </c>
      <c r="C2629">
        <v>-0.46</v>
      </c>
      <c r="D2629">
        <v>-0.49731128757203097</v>
      </c>
      <c r="E2629">
        <v>0.11359400336961141</v>
      </c>
      <c r="F2629">
        <v>105.18966157095332</v>
      </c>
    </row>
    <row r="2630" spans="1:6" x14ac:dyDescent="0.3">
      <c r="A2630">
        <v>0.01</v>
      </c>
      <c r="B2630" t="s">
        <v>99</v>
      </c>
      <c r="C2630">
        <v>-0.45</v>
      </c>
      <c r="D2630">
        <v>-0.48470027859405168</v>
      </c>
      <c r="E2630">
        <v>0.11333199526653942</v>
      </c>
      <c r="F2630">
        <v>107.56986187048969</v>
      </c>
    </row>
    <row r="2631" spans="1:6" x14ac:dyDescent="0.3">
      <c r="A2631">
        <v>0.01</v>
      </c>
      <c r="B2631" t="s">
        <v>99</v>
      </c>
      <c r="C2631">
        <v>-0.44</v>
      </c>
      <c r="D2631">
        <v>-0.47223080442042559</v>
      </c>
      <c r="E2631">
        <v>0.11306248169191969</v>
      </c>
      <c r="F2631">
        <v>110.03555525223514</v>
      </c>
    </row>
    <row r="2632" spans="1:6" x14ac:dyDescent="0.3">
      <c r="A2632">
        <v>0.01</v>
      </c>
      <c r="B2632" t="s">
        <v>99</v>
      </c>
      <c r="C2632">
        <v>-0.43</v>
      </c>
      <c r="D2632">
        <v>-0.45989668121267852</v>
      </c>
      <c r="E2632">
        <v>0.11278504005840931</v>
      </c>
      <c r="F2632">
        <v>112.59228396210216</v>
      </c>
    </row>
    <row r="2633" spans="1:6" x14ac:dyDescent="0.3">
      <c r="A2633">
        <v>0.01</v>
      </c>
      <c r="B2633" t="s">
        <v>99</v>
      </c>
      <c r="C2633">
        <v>-0.42</v>
      </c>
      <c r="D2633">
        <v>-0.4476920235274206</v>
      </c>
      <c r="E2633">
        <v>0.11249921813999673</v>
      </c>
      <c r="F2633">
        <v>115.24605415227744</v>
      </c>
    </row>
    <row r="2634" spans="1:6" x14ac:dyDescent="0.3">
      <c r="A2634">
        <v>0.01</v>
      </c>
      <c r="B2634" t="s">
        <v>99</v>
      </c>
      <c r="C2634">
        <v>-0.41</v>
      </c>
      <c r="D2634">
        <v>-0.43561122323622431</v>
      </c>
      <c r="E2634">
        <v>0.11220452066771874</v>
      </c>
      <c r="F2634">
        <v>118.00339759760148</v>
      </c>
    </row>
    <row r="2635" spans="1:6" x14ac:dyDescent="0.3">
      <c r="A2635">
        <v>0.01</v>
      </c>
      <c r="B2635" t="s">
        <v>99</v>
      </c>
      <c r="C2635">
        <v>-0.4</v>
      </c>
      <c r="D2635">
        <v>-0.42364893019360178</v>
      </c>
      <c r="E2635">
        <v>0.11190045012588425</v>
      </c>
      <c r="F2635">
        <v>120.8713881285579</v>
      </c>
    </row>
    <row r="2636" spans="1:6" x14ac:dyDescent="0.3">
      <c r="A2636">
        <v>0.01</v>
      </c>
      <c r="B2636" t="s">
        <v>99</v>
      </c>
      <c r="C2636">
        <v>-0.39</v>
      </c>
      <c r="D2636">
        <v>-0.41180003447869035</v>
      </c>
      <c r="E2636">
        <v>0.11158644420493229</v>
      </c>
      <c r="F2636">
        <v>123.8577635940719</v>
      </c>
    </row>
    <row r="2637" spans="1:6" x14ac:dyDescent="0.3">
      <c r="A2637">
        <v>0.01</v>
      </c>
      <c r="B2637" t="s">
        <v>99</v>
      </c>
      <c r="C2637">
        <v>-0.38</v>
      </c>
      <c r="D2637">
        <v>-0.40005965005605654</v>
      </c>
      <c r="E2637">
        <v>0.11126188582128239</v>
      </c>
      <c r="F2637">
        <v>126.97099068862452</v>
      </c>
    </row>
    <row r="2638" spans="1:6" x14ac:dyDescent="0.3">
      <c r="A2638">
        <v>0.01</v>
      </c>
      <c r="B2638" t="s">
        <v>99</v>
      </c>
      <c r="C2638">
        <v>-0.37</v>
      </c>
      <c r="D2638">
        <v>-0.38842309971829614</v>
      </c>
      <c r="E2638">
        <v>0.11092615811827494</v>
      </c>
      <c r="F2638">
        <v>130.2202895664928</v>
      </c>
    </row>
    <row r="2639" spans="1:6" x14ac:dyDescent="0.3">
      <c r="A2639">
        <v>0.01</v>
      </c>
      <c r="B2639" t="s">
        <v>99</v>
      </c>
      <c r="C2639">
        <v>-0.36</v>
      </c>
      <c r="D2639">
        <v>-0.37688590118819004</v>
      </c>
      <c r="E2639">
        <v>0.11057853336043606</v>
      </c>
      <c r="F2639">
        <v>133.61584407889785</v>
      </c>
    </row>
    <row r="2640" spans="1:6" x14ac:dyDescent="0.3">
      <c r="A2640">
        <v>0.01</v>
      </c>
      <c r="B2640" t="s">
        <v>99</v>
      </c>
      <c r="C2640">
        <v>-0.35</v>
      </c>
      <c r="D2640">
        <v>-0.36544375427139619</v>
      </c>
      <c r="E2640">
        <v>0.11021828260420159</v>
      </c>
      <c r="F2640">
        <v>137.16879410385019</v>
      </c>
    </row>
    <row r="2641" spans="1:6" x14ac:dyDescent="0.3">
      <c r="A2641">
        <v>0.01</v>
      </c>
      <c r="B2641" t="s">
        <v>99</v>
      </c>
      <c r="C2641">
        <v>-0.34</v>
      </c>
      <c r="D2641">
        <v>-0.35409252896224297</v>
      </c>
      <c r="E2641">
        <v>0.10984456914372595</v>
      </c>
      <c r="F2641">
        <v>140.89147730471819</v>
      </c>
    </row>
    <row r="2642" spans="1:6" x14ac:dyDescent="0.3">
      <c r="A2642">
        <v>0.01</v>
      </c>
      <c r="B2642" t="s">
        <v>99</v>
      </c>
      <c r="C2642">
        <v>-0.33</v>
      </c>
      <c r="D2642">
        <v>-0.34282825441539394</v>
      </c>
      <c r="E2642">
        <v>0.10945650576321633</v>
      </c>
      <c r="F2642">
        <v>144.79751252670883</v>
      </c>
    </row>
    <row r="2643" spans="1:6" x14ac:dyDescent="0.3">
      <c r="A2643">
        <v>0.01</v>
      </c>
      <c r="B2643" t="s">
        <v>99</v>
      </c>
      <c r="C2643">
        <v>-0.32</v>
      </c>
      <c r="D2643">
        <v>-0.3316471087051322</v>
      </c>
      <c r="E2643">
        <v>0.109053120574696</v>
      </c>
      <c r="F2643">
        <v>148.90200860528455</v>
      </c>
    </row>
    <row r="2644" spans="1:6" x14ac:dyDescent="0.3">
      <c r="A2644">
        <v>0.01</v>
      </c>
      <c r="B2644" t="s">
        <v>99</v>
      </c>
      <c r="C2644">
        <v>-0.31</v>
      </c>
      <c r="D2644">
        <v>-0.32054540930194608</v>
      </c>
      <c r="E2644">
        <v>0.10863336532609344</v>
      </c>
      <c r="F2644">
        <v>153.22175284189478</v>
      </c>
    </row>
    <row r="2645" spans="1:6" x14ac:dyDescent="0.3">
      <c r="A2645">
        <v>0.01</v>
      </c>
      <c r="B2645" t="s">
        <v>99</v>
      </c>
      <c r="C2645">
        <v>-0.3</v>
      </c>
      <c r="D2645">
        <v>-0.30951960420311175</v>
      </c>
      <c r="E2645">
        <v>0.10819609295506789</v>
      </c>
      <c r="F2645">
        <v>157.77547160393357</v>
      </c>
    </row>
    <row r="2646" spans="1:6" x14ac:dyDescent="0.3">
      <c r="A2646">
        <v>0.01</v>
      </c>
      <c r="B2646" t="s">
        <v>99</v>
      </c>
      <c r="C2646">
        <v>-0.28999999999999998</v>
      </c>
      <c r="D2646">
        <v>-0.29856626366017835</v>
      </c>
      <c r="E2646">
        <v>0.10774000894658979</v>
      </c>
      <c r="F2646">
        <v>162.58417333682098</v>
      </c>
    </row>
    <row r="2647" spans="1:6" x14ac:dyDescent="0.3">
      <c r="A2647">
        <v>0.01</v>
      </c>
      <c r="B2647" t="s">
        <v>99</v>
      </c>
      <c r="C2647">
        <v>-0.28000000000000003</v>
      </c>
      <c r="D2647">
        <v>-0.2876820724517809</v>
      </c>
      <c r="E2647">
        <v>0.10726371626708334</v>
      </c>
      <c r="F2647">
        <v>167.6714184000777</v>
      </c>
    </row>
    <row r="2648" spans="1:6" x14ac:dyDescent="0.3">
      <c r="A2648">
        <v>0.01</v>
      </c>
      <c r="B2648" t="s">
        <v>99</v>
      </c>
      <c r="C2648">
        <v>-0.27</v>
      </c>
      <c r="D2648">
        <v>-0.27686382265510007</v>
      </c>
      <c r="E2648">
        <v>0.10676571321528416</v>
      </c>
      <c r="F2648">
        <v>173.06370567582414</v>
      </c>
    </row>
    <row r="2649" spans="1:6" x14ac:dyDescent="0.3">
      <c r="A2649">
        <v>0.01</v>
      </c>
      <c r="B2649" t="s">
        <v>99</v>
      </c>
      <c r="C2649">
        <v>-0.26</v>
      </c>
      <c r="D2649">
        <v>-0.26610840687365411</v>
      </c>
      <c r="E2649">
        <v>0.10624428766047025</v>
      </c>
      <c r="F2649">
        <v>178.79109475035264</v>
      </c>
    </row>
    <row r="2650" spans="1:6" x14ac:dyDescent="0.3">
      <c r="A2650">
        <v>0.01</v>
      </c>
      <c r="B2650" t="s">
        <v>99</v>
      </c>
      <c r="C2650">
        <v>-0.25</v>
      </c>
      <c r="D2650">
        <v>-0.25541281188299536</v>
      </c>
      <c r="E2650">
        <v>0.10569754042410878</v>
      </c>
      <c r="F2650">
        <v>184.88774497087755</v>
      </c>
    </row>
    <row r="2651" spans="1:6" x14ac:dyDescent="0.3">
      <c r="A2651">
        <v>0.01</v>
      </c>
      <c r="B2651" t="s">
        <v>99</v>
      </c>
      <c r="C2651">
        <v>-0.24</v>
      </c>
      <c r="D2651">
        <v>-0.24477411265935289</v>
      </c>
      <c r="E2651">
        <v>0.10512340042140536</v>
      </c>
      <c r="F2651">
        <v>191.39257463564155</v>
      </c>
    </row>
    <row r="2652" spans="1:6" x14ac:dyDescent="0.3">
      <c r="A2652">
        <v>0.01</v>
      </c>
      <c r="B2652" t="s">
        <v>99</v>
      </c>
      <c r="C2652">
        <v>-0.23</v>
      </c>
      <c r="D2652">
        <v>-0.23418946675936678</v>
      </c>
      <c r="E2652">
        <v>0.10451952961183845</v>
      </c>
      <c r="F2652">
        <v>198.35025296144966</v>
      </c>
    </row>
    <row r="2653" spans="1:6" x14ac:dyDescent="0.3">
      <c r="A2653">
        <v>0.01</v>
      </c>
      <c r="B2653" t="s">
        <v>99</v>
      </c>
      <c r="C2653">
        <v>-0.22</v>
      </c>
      <c r="D2653">
        <v>-0.22365610902183239</v>
      </c>
      <c r="E2653">
        <v>0.10388332468979629</v>
      </c>
      <c r="F2653">
        <v>205.81223484009647</v>
      </c>
    </row>
    <row r="2654" spans="1:6" x14ac:dyDescent="0.3">
      <c r="A2654">
        <v>0.01</v>
      </c>
      <c r="B2654" t="s">
        <v>99</v>
      </c>
      <c r="C2654">
        <v>-0.21</v>
      </c>
      <c r="D2654">
        <v>-0.21317134656485975</v>
      </c>
      <c r="E2654">
        <v>0.10321181903413666</v>
      </c>
      <c r="F2654">
        <v>213.83822444584075</v>
      </c>
    </row>
    <row r="2655" spans="1:6" x14ac:dyDescent="0.3">
      <c r="A2655">
        <v>0.01</v>
      </c>
      <c r="B2655" t="s">
        <v>99</v>
      </c>
      <c r="C2655">
        <v>-0.2</v>
      </c>
      <c r="D2655">
        <v>-0.20273255405408214</v>
      </c>
      <c r="E2655">
        <v>0.10250172538203271</v>
      </c>
      <c r="F2655">
        <v>222.4977038224053</v>
      </c>
    </row>
    <row r="2656" spans="1:6" x14ac:dyDescent="0.3">
      <c r="A2656">
        <v>0.01</v>
      </c>
      <c r="B2656" t="s">
        <v>99</v>
      </c>
      <c r="C2656">
        <v>-0.19</v>
      </c>
      <c r="D2656">
        <v>-0.1923371692195453</v>
      </c>
      <c r="E2656">
        <v>0.10174927444553682</v>
      </c>
      <c r="F2656">
        <v>231.87227446159798</v>
      </c>
    </row>
    <row r="2657" spans="1:6" x14ac:dyDescent="0.3">
      <c r="A2657">
        <v>0.01</v>
      </c>
      <c r="B2657" t="s">
        <v>99</v>
      </c>
      <c r="C2657">
        <v>-0.18</v>
      </c>
      <c r="D2657">
        <v>-0.18198268860070579</v>
      </c>
      <c r="E2657">
        <v>0.10095019053100369</v>
      </c>
      <c r="F2657">
        <v>242.0583096256245</v>
      </c>
    </row>
    <row r="2658" spans="1:6" x14ac:dyDescent="0.3">
      <c r="A2658">
        <v>0.01</v>
      </c>
      <c r="B2658" t="s">
        <v>99</v>
      </c>
      <c r="C2658">
        <v>-0.17</v>
      </c>
      <c r="D2658">
        <v>-0.17166666350057908</v>
      </c>
      <c r="E2658">
        <v>0.10009955445858706</v>
      </c>
      <c r="F2658">
        <v>253.17060028700359</v>
      </c>
    </row>
    <row r="2659" spans="1:6" x14ac:dyDescent="0.3">
      <c r="A2659">
        <v>0.01</v>
      </c>
      <c r="B2659" t="s">
        <v>99</v>
      </c>
      <c r="C2659">
        <v>-0.16</v>
      </c>
      <c r="D2659">
        <v>-0.16138669613152551</v>
      </c>
      <c r="E2659">
        <v>9.9191717110726108E-2</v>
      </c>
      <c r="F2659">
        <v>265.34693051238281</v>
      </c>
    </row>
    <row r="2660" spans="1:6" x14ac:dyDescent="0.3">
      <c r="A2660">
        <v>0.01</v>
      </c>
      <c r="B2660" t="s">
        <v>99</v>
      </c>
      <c r="C2660">
        <v>-0.15</v>
      </c>
      <c r="D2660">
        <v>-0.15114043593646675</v>
      </c>
      <c r="E2660">
        <v>9.8220114489976126E-2</v>
      </c>
      <c r="F2660">
        <v>278.7543125167453</v>
      </c>
    </row>
    <row r="2661" spans="1:6" x14ac:dyDescent="0.3">
      <c r="A2661">
        <v>0.01</v>
      </c>
      <c r="B2661" t="s">
        <v>99</v>
      </c>
      <c r="C2661">
        <v>-0.14000000000000001</v>
      </c>
      <c r="D2661">
        <v>-0.14092557607049394</v>
      </c>
      <c r="E2661">
        <v>9.7177082310727289E-2</v>
      </c>
      <c r="F2661">
        <v>293.59724439829495</v>
      </c>
    </row>
    <row r="2662" spans="1:6" x14ac:dyDescent="0.3">
      <c r="A2662">
        <v>0.01</v>
      </c>
      <c r="B2662" t="s">
        <v>99</v>
      </c>
      <c r="C2662">
        <v>-0.13</v>
      </c>
      <c r="D2662">
        <v>-0.13073985002887836</v>
      </c>
      <c r="E2662">
        <v>9.6053611814216511E-2</v>
      </c>
      <c r="F2662">
        <v>310.12898726438607</v>
      </c>
    </row>
    <row r="2663" spans="1:6" x14ac:dyDescent="0.3">
      <c r="A2663">
        <v>0.01</v>
      </c>
      <c r="B2663" t="s">
        <v>99</v>
      </c>
      <c r="C2663">
        <v>-0.12</v>
      </c>
      <c r="D2663">
        <v>-0.12058102840844405</v>
      </c>
      <c r="E2663">
        <v>9.4838957054945688E-2</v>
      </c>
      <c r="F2663">
        <v>328.66748096265314</v>
      </c>
    </row>
    <row r="2664" spans="1:6" x14ac:dyDescent="0.3">
      <c r="A2664">
        <v>0.01</v>
      </c>
      <c r="B2664" t="s">
        <v>99</v>
      </c>
      <c r="C2664">
        <v>-0.11</v>
      </c>
      <c r="D2664">
        <v>-0.1104469157900972</v>
      </c>
      <c r="E2664">
        <v>9.3520251834514428E-2</v>
      </c>
      <c r="F2664">
        <v>349.61750412599423</v>
      </c>
    </row>
    <row r="2665" spans="1:6" x14ac:dyDescent="0.3">
      <c r="A2665">
        <v>0.01</v>
      </c>
      <c r="B2665" t="s">
        <v>99</v>
      </c>
      <c r="C2665">
        <v>-0.1</v>
      </c>
      <c r="D2665">
        <v>-0.10033534773107562</v>
      </c>
      <c r="E2665">
        <v>9.2081834481480301E-2</v>
      </c>
      <c r="F2665">
        <v>373.50339109731135</v>
      </c>
    </row>
    <row r="2666" spans="1:6" x14ac:dyDescent="0.3">
      <c r="A2666">
        <v>0.01</v>
      </c>
      <c r="B2666" t="s">
        <v>99</v>
      </c>
      <c r="C2666">
        <v>-0.09</v>
      </c>
      <c r="D2666">
        <v>-9.0244187856146837E-2</v>
      </c>
      <c r="E2666">
        <v>9.0504442777671945E-2</v>
      </c>
      <c r="F2666">
        <v>401.01742145895855</v>
      </c>
    </row>
    <row r="2667" spans="1:6" x14ac:dyDescent="0.3">
      <c r="A2667">
        <v>0.01</v>
      </c>
      <c r="B2667" t="s">
        <v>99</v>
      </c>
      <c r="C2667">
        <v>-0.08</v>
      </c>
      <c r="D2667">
        <v>-8.0171325037589683E-2</v>
      </c>
      <c r="E2667">
        <v>8.8763940541148473E-2</v>
      </c>
      <c r="F2667">
        <v>433.0948684080002</v>
      </c>
    </row>
    <row r="2668" spans="1:6" x14ac:dyDescent="0.3">
      <c r="A2668">
        <v>0.01</v>
      </c>
      <c r="B2668" t="s">
        <v>99</v>
      </c>
      <c r="C2668">
        <v>-7.0000000000000007E-2</v>
      </c>
      <c r="D2668">
        <v>-7.0114670654325195E-2</v>
      </c>
      <c r="E2668">
        <v>8.6829518094641678E-2</v>
      </c>
      <c r="F2668">
        <v>471.03372238274278</v>
      </c>
    </row>
    <row r="2669" spans="1:6" x14ac:dyDescent="0.3">
      <c r="A2669">
        <v>0.01</v>
      </c>
      <c r="B2669" t="s">
        <v>99</v>
      </c>
      <c r="C2669">
        <v>-0.06</v>
      </c>
      <c r="D2669">
        <v>-6.007215592103167E-2</v>
      </c>
      <c r="E2669">
        <v>8.4660977200749846E-2</v>
      </c>
      <c r="F2669">
        <v>516.6944810850166</v>
      </c>
    </row>
    <row r="2670" spans="1:6" x14ac:dyDescent="0.3">
      <c r="A2670">
        <v>0.01</v>
      </c>
      <c r="B2670" t="s">
        <v>99</v>
      </c>
      <c r="C2670">
        <v>-0.05</v>
      </c>
      <c r="D2670">
        <v>-5.0041729278491327E-2</v>
      </c>
      <c r="E2670">
        <v>8.2204119460682179E-2</v>
      </c>
      <c r="F2670">
        <v>572.85408481398235</v>
      </c>
    </row>
    <row r="2671" spans="1:6" x14ac:dyDescent="0.3">
      <c r="A2671">
        <v>0.01</v>
      </c>
      <c r="B2671" t="s">
        <v>99</v>
      </c>
      <c r="C2671">
        <v>-0.04</v>
      </c>
      <c r="D2671">
        <v>-4.0021353836768248E-2</v>
      </c>
      <c r="E2671">
        <v>7.9383376563423674E-2</v>
      </c>
      <c r="F2671">
        <v>643.87061643964455</v>
      </c>
    </row>
    <row r="2672" spans="1:6" x14ac:dyDescent="0.3">
      <c r="A2672">
        <v>0.01</v>
      </c>
      <c r="B2672" t="s">
        <v>99</v>
      </c>
      <c r="C2672">
        <v>-0.03</v>
      </c>
      <c r="D2672">
        <v>-3.000900486312652E-2</v>
      </c>
      <c r="E2672">
        <v>7.6087678166893866E-2</v>
      </c>
      <c r="F2672">
        <v>737.05509665852833</v>
      </c>
    </row>
    <row r="2673" spans="1:6" x14ac:dyDescent="0.3">
      <c r="A2673">
        <v>0.01</v>
      </c>
      <c r="B2673" t="s">
        <v>99</v>
      </c>
      <c r="C2673">
        <v>-0.02</v>
      </c>
      <c r="D2673">
        <v>-2.0002667306849624E-2</v>
      </c>
      <c r="E2673">
        <v>7.2142129053547333E-2</v>
      </c>
      <c r="F2673">
        <v>865.84174789951317</v>
      </c>
    </row>
    <row r="2674" spans="1:6" x14ac:dyDescent="0.3">
      <c r="A2674">
        <v>0.01</v>
      </c>
      <c r="B2674" t="s">
        <v>99</v>
      </c>
      <c r="C2674">
        <v>-0.01</v>
      </c>
      <c r="D2674">
        <v>-1.0000333353334771E-2</v>
      </c>
      <c r="E2674">
        <v>6.7240669291241589E-2</v>
      </c>
      <c r="F2674">
        <v>1058.4728160205218</v>
      </c>
    </row>
    <row r="2675" spans="1:6" x14ac:dyDescent="0.3">
      <c r="A2675">
        <v>0.1</v>
      </c>
      <c r="B2675" t="s">
        <v>98</v>
      </c>
      <c r="C2675">
        <v>-0.99</v>
      </c>
      <c r="D2675">
        <v>-2.6466524123622457</v>
      </c>
      <c r="E2675">
        <v>7.8733426536886308E-2</v>
      </c>
      <c r="F2675">
        <v>27.451718241961593</v>
      </c>
    </row>
    <row r="2676" spans="1:6" x14ac:dyDescent="0.3">
      <c r="A2676">
        <v>0.1</v>
      </c>
      <c r="B2676" t="s">
        <v>98</v>
      </c>
      <c r="C2676">
        <v>-0.98</v>
      </c>
      <c r="D2676">
        <v>-2.2975599250672945</v>
      </c>
      <c r="E2676">
        <v>7.8406011023194472E-2</v>
      </c>
      <c r="F2676">
        <v>31.104469348962752</v>
      </c>
    </row>
    <row r="2677" spans="1:6" x14ac:dyDescent="0.3">
      <c r="A2677">
        <v>0.1</v>
      </c>
      <c r="B2677" t="s">
        <v>98</v>
      </c>
      <c r="C2677">
        <v>-0.97</v>
      </c>
      <c r="D2677">
        <v>-2.0922957200349388</v>
      </c>
      <c r="E2677">
        <v>7.816602417571189E-2</v>
      </c>
      <c r="F2677">
        <v>33.811018247418232</v>
      </c>
    </row>
    <row r="2678" spans="1:6" x14ac:dyDescent="0.3">
      <c r="A2678">
        <v>0.1</v>
      </c>
      <c r="B2678" t="s">
        <v>98</v>
      </c>
      <c r="C2678">
        <v>-0.96</v>
      </c>
      <c r="D2678">
        <v>-1.9459101490553128</v>
      </c>
      <c r="E2678">
        <v>7.7966248650708198E-2</v>
      </c>
      <c r="F2678">
        <v>36.083267337072265</v>
      </c>
    </row>
    <row r="2679" spans="1:6" x14ac:dyDescent="0.3">
      <c r="A2679">
        <v>0.1</v>
      </c>
      <c r="B2679" t="s">
        <v>98</v>
      </c>
      <c r="C2679">
        <v>-0.95</v>
      </c>
      <c r="D2679">
        <v>-1.8317808230648227</v>
      </c>
      <c r="E2679">
        <v>7.7790061795396728E-2</v>
      </c>
      <c r="F2679">
        <v>38.101620703540384</v>
      </c>
    </row>
    <row r="2680" spans="1:6" x14ac:dyDescent="0.3">
      <c r="A2680">
        <v>0.1</v>
      </c>
      <c r="B2680" t="s">
        <v>98</v>
      </c>
      <c r="C2680">
        <v>-0.94</v>
      </c>
      <c r="D2680">
        <v>-1.7380493449176362</v>
      </c>
      <c r="E2680">
        <v>7.7629480011850591E-2</v>
      </c>
      <c r="F2680">
        <v>39.95322745437322</v>
      </c>
    </row>
    <row r="2681" spans="1:6" x14ac:dyDescent="0.3">
      <c r="A2681">
        <v>0.1</v>
      </c>
      <c r="B2681" t="s">
        <v>98</v>
      </c>
      <c r="C2681">
        <v>-0.93</v>
      </c>
      <c r="D2681">
        <v>-1.6583900199247865</v>
      </c>
      <c r="E2681">
        <v>7.747996959688673E-2</v>
      </c>
      <c r="F2681">
        <v>41.687684733335871</v>
      </c>
    </row>
    <row r="2682" spans="1:6" x14ac:dyDescent="0.3">
      <c r="A2682">
        <v>0.1</v>
      </c>
      <c r="B2682" t="s">
        <v>98</v>
      </c>
      <c r="C2682">
        <v>-0.92</v>
      </c>
      <c r="D2682">
        <v>-1.5890269151739731</v>
      </c>
      <c r="E2682">
        <v>7.7338636613028033E-2</v>
      </c>
      <c r="F2682">
        <v>43.336299565207824</v>
      </c>
    </row>
    <row r="2683" spans="1:6" x14ac:dyDescent="0.3">
      <c r="A2683">
        <v>0.1</v>
      </c>
      <c r="B2683" t="s">
        <v>98</v>
      </c>
      <c r="C2683">
        <v>-0.91</v>
      </c>
      <c r="D2683">
        <v>-1.5275244253552054</v>
      </c>
      <c r="E2683">
        <v>7.7203577548251925E-2</v>
      </c>
      <c r="F2683">
        <v>44.920290725280111</v>
      </c>
    </row>
    <row r="2684" spans="1:6" x14ac:dyDescent="0.3">
      <c r="A2684">
        <v>0.1</v>
      </c>
      <c r="B2684" t="s">
        <v>98</v>
      </c>
      <c r="C2684">
        <v>-0.9</v>
      </c>
      <c r="D2684">
        <v>-1.4722194895832204</v>
      </c>
      <c r="E2684">
        <v>7.7073407070552741E-2</v>
      </c>
      <c r="F2684">
        <v>46.454852725997085</v>
      </c>
    </row>
    <row r="2685" spans="1:6" x14ac:dyDescent="0.3">
      <c r="A2685">
        <v>0.1</v>
      </c>
      <c r="B2685" t="s">
        <v>98</v>
      </c>
      <c r="C2685">
        <v>-0.89</v>
      </c>
      <c r="D2685">
        <v>-1.421925871130636</v>
      </c>
      <c r="E2685">
        <v>7.6947102304978504E-2</v>
      </c>
      <c r="F2685">
        <v>47.951329039247589</v>
      </c>
    </row>
    <row r="2686" spans="1:6" x14ac:dyDescent="0.3">
      <c r="A2686">
        <v>0.1</v>
      </c>
      <c r="B2686" t="s">
        <v>98</v>
      </c>
      <c r="C2686">
        <v>-0.88</v>
      </c>
      <c r="D2686">
        <v>-1.3757676565209744</v>
      </c>
      <c r="E2686">
        <v>7.6823875795031207E-2</v>
      </c>
      <c r="F2686">
        <v>49.418487261544563</v>
      </c>
    </row>
    <row r="2687" spans="1:6" x14ac:dyDescent="0.3">
      <c r="A2687">
        <v>0.1</v>
      </c>
      <c r="B2687" t="s">
        <v>98</v>
      </c>
      <c r="C2687">
        <v>-0.87</v>
      </c>
      <c r="D2687">
        <v>-1.333079629696525</v>
      </c>
      <c r="E2687">
        <v>7.6703093088769991E-2</v>
      </c>
      <c r="F2687">
        <v>50.86330753203174</v>
      </c>
    </row>
    <row r="2688" spans="1:6" x14ac:dyDescent="0.3">
      <c r="A2688">
        <v>0.1</v>
      </c>
      <c r="B2688" t="s">
        <v>98</v>
      </c>
      <c r="C2688">
        <v>-0.86</v>
      </c>
      <c r="D2688">
        <v>-1.2933446720489712</v>
      </c>
      <c r="E2688">
        <v>7.6584267215166979E-2</v>
      </c>
      <c r="F2688">
        <v>52.291476614994195</v>
      </c>
    </row>
    <row r="2689" spans="1:6" x14ac:dyDescent="0.3">
      <c r="A2689">
        <v>0.1</v>
      </c>
      <c r="B2689" t="s">
        <v>98</v>
      </c>
      <c r="C2689">
        <v>-0.85</v>
      </c>
      <c r="D2689">
        <v>-1.2561528119880574</v>
      </c>
      <c r="E2689">
        <v>7.6466966996399807E-2</v>
      </c>
      <c r="F2689">
        <v>53.707748023648598</v>
      </c>
    </row>
    <row r="2690" spans="1:6" x14ac:dyDescent="0.3">
      <c r="A2690">
        <v>0.1</v>
      </c>
      <c r="B2690" t="s">
        <v>98</v>
      </c>
      <c r="C2690">
        <v>-0.84</v>
      </c>
      <c r="D2690">
        <v>-1.2211735176846021</v>
      </c>
      <c r="E2690">
        <v>7.6350852205474676E-2</v>
      </c>
      <c r="F2690">
        <v>55.116159686206181</v>
      </c>
    </row>
    <row r="2691" spans="1:6" x14ac:dyDescent="0.3">
      <c r="A2691">
        <v>0.1</v>
      </c>
      <c r="B2691" t="s">
        <v>98</v>
      </c>
      <c r="C2691">
        <v>-0.83</v>
      </c>
      <c r="D2691">
        <v>-1.1881364043926024</v>
      </c>
      <c r="E2691">
        <v>7.623563113588569E-2</v>
      </c>
      <c r="F2691">
        <v>56.52021116974575</v>
      </c>
    </row>
    <row r="2692" spans="1:6" x14ac:dyDescent="0.3">
      <c r="A2692">
        <v>0.1</v>
      </c>
      <c r="B2692" t="s">
        <v>98</v>
      </c>
      <c r="C2692">
        <v>-0.82</v>
      </c>
      <c r="D2692">
        <v>-1.1568174645903151</v>
      </c>
      <c r="E2692">
        <v>7.6121020980478404E-2</v>
      </c>
      <c r="F2692">
        <v>57.922997793587463</v>
      </c>
    </row>
    <row r="2693" spans="1:6" x14ac:dyDescent="0.3">
      <c r="A2693">
        <v>0.1</v>
      </c>
      <c r="B2693" t="s">
        <v>98</v>
      </c>
      <c r="C2693">
        <v>-0.81</v>
      </c>
      <c r="D2693">
        <v>-1.1270290260496929</v>
      </c>
      <c r="E2693">
        <v>7.600681386249962E-2</v>
      </c>
      <c r="F2693">
        <v>59.32727538706326</v>
      </c>
    </row>
    <row r="2694" spans="1:6" x14ac:dyDescent="0.3">
      <c r="A2694">
        <v>0.1</v>
      </c>
      <c r="B2694" t="s">
        <v>98</v>
      </c>
      <c r="C2694">
        <v>-0.8</v>
      </c>
      <c r="D2694">
        <v>-1.0986122886681098</v>
      </c>
      <c r="E2694">
        <v>7.5892785707655841E-2</v>
      </c>
      <c r="F2694">
        <v>60.73556209714733</v>
      </c>
    </row>
    <row r="2695" spans="1:6" x14ac:dyDescent="0.3">
      <c r="A2695">
        <v>0.1</v>
      </c>
      <c r="B2695" t="s">
        <v>98</v>
      </c>
      <c r="C2695">
        <v>-0.79</v>
      </c>
      <c r="D2695">
        <v>-1.0714316840586662</v>
      </c>
      <c r="E2695">
        <v>7.5778771570431946E-2</v>
      </c>
      <c r="F2695">
        <v>62.150162157789651</v>
      </c>
    </row>
    <row r="2696" spans="1:6" x14ac:dyDescent="0.3">
      <c r="A2696">
        <v>0.1</v>
      </c>
      <c r="B2696" t="s">
        <v>98</v>
      </c>
      <c r="C2696">
        <v>-0.78</v>
      </c>
      <c r="D2696">
        <v>-1.0453705484668847</v>
      </c>
      <c r="E2696">
        <v>7.5664594265536123E-2</v>
      </c>
      <c r="F2696">
        <v>63.573235343611451</v>
      </c>
    </row>
    <row r="2697" spans="1:6" x14ac:dyDescent="0.3">
      <c r="A2697">
        <v>0.1</v>
      </c>
      <c r="B2697" t="s">
        <v>98</v>
      </c>
      <c r="C2697">
        <v>-0.77</v>
      </c>
      <c r="D2697">
        <v>-1.0203277583223398</v>
      </c>
      <c r="E2697">
        <v>7.5550081155916701E-2</v>
      </c>
      <c r="F2697">
        <v>65.006824558752683</v>
      </c>
    </row>
    <row r="2698" spans="1:6" x14ac:dyDescent="0.3">
      <c r="A2698">
        <v>0.1</v>
      </c>
      <c r="B2698" t="s">
        <v>98</v>
      </c>
      <c r="C2698">
        <v>-0.76</v>
      </c>
      <c r="D2698">
        <v>-0.99621508234510314</v>
      </c>
      <c r="E2698">
        <v>7.5435103092511599E-2</v>
      </c>
      <c r="F2698">
        <v>66.452866258505964</v>
      </c>
    </row>
    <row r="2699" spans="1:6" x14ac:dyDescent="0.3">
      <c r="A2699">
        <v>0.1</v>
      </c>
      <c r="B2699" t="s">
        <v>98</v>
      </c>
      <c r="C2699">
        <v>-0.75</v>
      </c>
      <c r="D2699">
        <v>-0.97295507452765673</v>
      </c>
      <c r="E2699">
        <v>7.53195191107838E-2</v>
      </c>
      <c r="F2699">
        <v>67.913236384719568</v>
      </c>
    </row>
    <row r="2700" spans="1:6" x14ac:dyDescent="0.3">
      <c r="A2700">
        <v>0.1</v>
      </c>
      <c r="B2700" t="s">
        <v>98</v>
      </c>
      <c r="C2700">
        <v>-0.74</v>
      </c>
      <c r="D2700">
        <v>-0.95047938059652348</v>
      </c>
      <c r="E2700">
        <v>7.520320613419576E-2</v>
      </c>
      <c r="F2700">
        <v>69.389756753450371</v>
      </c>
    </row>
    <row r="2701" spans="1:6" x14ac:dyDescent="0.3">
      <c r="A2701">
        <v>0.1</v>
      </c>
      <c r="B2701" t="s">
        <v>98</v>
      </c>
      <c r="C2701">
        <v>-0.73</v>
      </c>
      <c r="D2701">
        <v>-0.92872736424672497</v>
      </c>
      <c r="E2701">
        <v>7.5086008222248535E-2</v>
      </c>
      <c r="F2701">
        <v>70.884235105794701</v>
      </c>
    </row>
    <row r="2702" spans="1:6" x14ac:dyDescent="0.3">
      <c r="A2702">
        <v>0.1</v>
      </c>
      <c r="B2702" t="s">
        <v>98</v>
      </c>
      <c r="C2702">
        <v>-0.72</v>
      </c>
      <c r="D2702">
        <v>-0.90764498331912458</v>
      </c>
      <c r="E2702">
        <v>7.4967822359053887E-2</v>
      </c>
      <c r="F2702">
        <v>72.398439711556719</v>
      </c>
    </row>
    <row r="2703" spans="1:6" x14ac:dyDescent="0.3">
      <c r="A2703">
        <v>0.1</v>
      </c>
      <c r="B2703" t="s">
        <v>98</v>
      </c>
      <c r="C2703">
        <v>-0.71</v>
      </c>
      <c r="D2703">
        <v>-0.88718386325809284</v>
      </c>
      <c r="E2703">
        <v>7.4848536197477208E-2</v>
      </c>
      <c r="F2703">
        <v>73.934140567250054</v>
      </c>
    </row>
    <row r="2704" spans="1:6" x14ac:dyDescent="0.3">
      <c r="A2704">
        <v>0.1</v>
      </c>
      <c r="B2704" t="s">
        <v>98</v>
      </c>
      <c r="C2704">
        <v>-0.7</v>
      </c>
      <c r="D2704">
        <v>-0.86730052769405308</v>
      </c>
      <c r="E2704">
        <v>7.472801831405454E-2</v>
      </c>
      <c r="F2704">
        <v>75.493126785366698</v>
      </c>
    </row>
    <row r="2705" spans="1:6" x14ac:dyDescent="0.3">
      <c r="A2705">
        <v>0.1</v>
      </c>
      <c r="B2705" t="s">
        <v>98</v>
      </c>
      <c r="C2705">
        <v>-0.69</v>
      </c>
      <c r="D2705">
        <v>-0.84795575521896349</v>
      </c>
      <c r="E2705">
        <v>7.4606155408248859E-2</v>
      </c>
      <c r="F2705">
        <v>77.077199103017591</v>
      </c>
    </row>
    <row r="2706" spans="1:6" x14ac:dyDescent="0.3">
      <c r="A2706">
        <v>0.1</v>
      </c>
      <c r="B2706" t="s">
        <v>98</v>
      </c>
      <c r="C2706">
        <v>-0.68</v>
      </c>
      <c r="D2706">
        <v>-0.82911403830176633</v>
      </c>
      <c r="E2706">
        <v>7.4482819770578731E-2</v>
      </c>
      <c r="F2706">
        <v>78.688196578077026</v>
      </c>
    </row>
    <row r="2707" spans="1:6" x14ac:dyDescent="0.3">
      <c r="A2707">
        <v>0.1</v>
      </c>
      <c r="B2707" t="s">
        <v>98</v>
      </c>
      <c r="C2707">
        <v>-0.67</v>
      </c>
      <c r="D2707">
        <v>-0.81074312547513749</v>
      </c>
      <c r="E2707">
        <v>7.4357916695057466E-2</v>
      </c>
      <c r="F2707">
        <v>80.327981131295914</v>
      </c>
    </row>
    <row r="2708" spans="1:6" x14ac:dyDescent="0.3">
      <c r="A2708">
        <v>0.1</v>
      </c>
      <c r="B2708" t="s">
        <v>98</v>
      </c>
      <c r="C2708">
        <v>-0.66</v>
      </c>
      <c r="D2708">
        <v>-0.79281363187019105</v>
      </c>
      <c r="E2708">
        <v>7.4231317974137456E-2</v>
      </c>
      <c r="F2708">
        <v>81.998482574108806</v>
      </c>
    </row>
    <row r="2709" spans="1:6" x14ac:dyDescent="0.3">
      <c r="A2709">
        <v>0.1</v>
      </c>
      <c r="B2709" t="s">
        <v>98</v>
      </c>
      <c r="C2709">
        <v>-0.65</v>
      </c>
      <c r="D2709">
        <v>-0.7752987062055835</v>
      </c>
      <c r="E2709">
        <v>7.4102906999544596E-2</v>
      </c>
      <c r="F2709">
        <v>83.701684123390407</v>
      </c>
    </row>
    <row r="2710" spans="1:6" x14ac:dyDescent="0.3">
      <c r="A2710">
        <v>0.1</v>
      </c>
      <c r="B2710" t="s">
        <v>98</v>
      </c>
      <c r="C2710">
        <v>-0.64</v>
      </c>
      <c r="D2710">
        <v>-0.7581737446840443</v>
      </c>
      <c r="E2710">
        <v>7.3972559085051057E-2</v>
      </c>
      <c r="F2710">
        <v>85.439642780154102</v>
      </c>
    </row>
    <row r="2711" spans="1:6" x14ac:dyDescent="0.3">
      <c r="A2711">
        <v>0.1</v>
      </c>
      <c r="B2711" t="s">
        <v>98</v>
      </c>
      <c r="C2711">
        <v>-0.63</v>
      </c>
      <c r="D2711">
        <v>-0.74141614408126888</v>
      </c>
      <c r="E2711">
        <v>7.3840137784033158E-2</v>
      </c>
      <c r="F2711">
        <v>87.214501779101568</v>
      </c>
    </row>
    <row r="2712" spans="1:6" x14ac:dyDescent="0.3">
      <c r="A2712">
        <v>0.1</v>
      </c>
      <c r="B2712" t="s">
        <v>98</v>
      </c>
      <c r="C2712">
        <v>-0.62</v>
      </c>
      <c r="D2712">
        <v>-0.72500508775299921</v>
      </c>
      <c r="E2712">
        <v>7.3705548728894774E-2</v>
      </c>
      <c r="F2712">
        <v>89.028467822769315</v>
      </c>
    </row>
    <row r="2713" spans="1:6" x14ac:dyDescent="0.3">
      <c r="A2713">
        <v>0.1</v>
      </c>
      <c r="B2713" t="s">
        <v>98</v>
      </c>
      <c r="C2713">
        <v>-0.61</v>
      </c>
      <c r="D2713">
        <v>-0.7089213594274083</v>
      </c>
      <c r="E2713">
        <v>7.356863222909521E-2</v>
      </c>
      <c r="F2713">
        <v>90.883886850263309</v>
      </c>
    </row>
    <row r="2714" spans="1:6" x14ac:dyDescent="0.3">
      <c r="A2714">
        <v>0.1</v>
      </c>
      <c r="B2714" t="s">
        <v>98</v>
      </c>
      <c r="C2714">
        <v>-0.6</v>
      </c>
      <c r="D2714">
        <v>-0.69314718055994529</v>
      </c>
      <c r="E2714">
        <v>7.3429274952757986E-2</v>
      </c>
      <c r="F2714">
        <v>92.783186779487565</v>
      </c>
    </row>
    <row r="2715" spans="1:6" x14ac:dyDescent="0.3">
      <c r="A2715">
        <v>0.1</v>
      </c>
      <c r="B2715" t="s">
        <v>98</v>
      </c>
      <c r="C2715">
        <v>-0.59</v>
      </c>
      <c r="D2715">
        <v>-0.67766606775796179</v>
      </c>
      <c r="E2715">
        <v>7.328731912727067E-2</v>
      </c>
      <c r="F2715">
        <v>94.728946282364731</v>
      </c>
    </row>
    <row r="2716" spans="1:6" x14ac:dyDescent="0.3">
      <c r="A2716">
        <v>0.1</v>
      </c>
      <c r="B2716" t="s">
        <v>98</v>
      </c>
      <c r="C2716">
        <v>-0.57999999999999996</v>
      </c>
      <c r="D2716">
        <v>-0.66246270737179924</v>
      </c>
      <c r="E2716">
        <v>7.3142628631739384E-2</v>
      </c>
      <c r="F2716">
        <v>96.723865224901772</v>
      </c>
    </row>
    <row r="2717" spans="1:6" x14ac:dyDescent="0.3">
      <c r="A2717">
        <v>0.1</v>
      </c>
      <c r="B2717" t="s">
        <v>98</v>
      </c>
      <c r="C2717">
        <v>-0.56999999999999995</v>
      </c>
      <c r="D2717">
        <v>-0.64752284482737277</v>
      </c>
      <c r="E2717">
        <v>7.2995042954927619E-2</v>
      </c>
      <c r="F2717">
        <v>98.77080852434014</v>
      </c>
    </row>
    <row r="2718" spans="1:6" x14ac:dyDescent="0.3">
      <c r="A2718">
        <v>0.1</v>
      </c>
      <c r="B2718" t="s">
        <v>98</v>
      </c>
      <c r="C2718">
        <v>-0.56000000000000005</v>
      </c>
      <c r="D2718">
        <v>-0.63283318666563804</v>
      </c>
      <c r="E2718">
        <v>7.2844426927501579E-2</v>
      </c>
      <c r="F2718">
        <v>100.87278658421603</v>
      </c>
    </row>
    <row r="2719" spans="1:6" x14ac:dyDescent="0.3">
      <c r="A2719">
        <v>0.1</v>
      </c>
      <c r="B2719" t="s">
        <v>98</v>
      </c>
      <c r="C2719">
        <v>-0.55000000000000004</v>
      </c>
      <c r="D2719">
        <v>-0.61838131357446346</v>
      </c>
      <c r="E2719">
        <v>7.2690600699168328E-2</v>
      </c>
      <c r="F2719">
        <v>103.03302037125083</v>
      </c>
    </row>
    <row r="2720" spans="1:6" x14ac:dyDescent="0.3">
      <c r="A2720">
        <v>0.1</v>
      </c>
      <c r="B2720" t="s">
        <v>98</v>
      </c>
      <c r="C2720">
        <v>-0.54</v>
      </c>
      <c r="D2720">
        <v>-0.60415560296226711</v>
      </c>
      <c r="E2720">
        <v>7.2533402762623003E-2</v>
      </c>
      <c r="F2720">
        <v>105.25491450724341</v>
      </c>
    </row>
    <row r="2721" spans="1:6" x14ac:dyDescent="0.3">
      <c r="A2721">
        <v>0.1</v>
      </c>
      <c r="B2721" t="s">
        <v>98</v>
      </c>
      <c r="C2721">
        <v>-0.53</v>
      </c>
      <c r="D2721">
        <v>-0.59014515984118854</v>
      </c>
      <c r="E2721">
        <v>7.237263590492056E-2</v>
      </c>
      <c r="F2721">
        <v>107.54211617933035</v>
      </c>
    </row>
    <row r="2722" spans="1:6" x14ac:dyDescent="0.3">
      <c r="A2722">
        <v>0.1</v>
      </c>
      <c r="B2722" t="s">
        <v>98</v>
      </c>
      <c r="C2722">
        <v>-0.52</v>
      </c>
      <c r="D2722">
        <v>-0.57633975496919276</v>
      </c>
      <c r="E2722">
        <v>7.2208116309708234E-2</v>
      </c>
      <c r="F2722">
        <v>109.89849973646274</v>
      </c>
    </row>
    <row r="2723" spans="1:6" x14ac:dyDescent="0.3">
      <c r="A2723">
        <v>0.1</v>
      </c>
      <c r="B2723" t="s">
        <v>98</v>
      </c>
      <c r="C2723">
        <v>-0.51</v>
      </c>
      <c r="D2723">
        <v>-0.56272976935214891</v>
      </c>
      <c r="E2723">
        <v>7.2039658610650439E-2</v>
      </c>
      <c r="F2723">
        <v>112.32820007057737</v>
      </c>
    </row>
    <row r="2724" spans="1:6" x14ac:dyDescent="0.3">
      <c r="A2724">
        <v>0.1</v>
      </c>
      <c r="B2724" t="s">
        <v>98</v>
      </c>
      <c r="C2724">
        <v>-0.5</v>
      </c>
      <c r="D2724">
        <v>-0.54930614433405489</v>
      </c>
      <c r="E2724">
        <v>7.1867039451371684E-2</v>
      </c>
      <c r="F2724">
        <v>114.83566825805329</v>
      </c>
    </row>
    <row r="2725" spans="1:6" x14ac:dyDescent="0.3">
      <c r="A2725">
        <v>0.1</v>
      </c>
      <c r="B2725" t="s">
        <v>98</v>
      </c>
      <c r="C2725">
        <v>-0.49</v>
      </c>
      <c r="D2725">
        <v>-0.53606033661056662</v>
      </c>
      <c r="E2725">
        <v>7.1690023254089838E-2</v>
      </c>
      <c r="F2725">
        <v>117.42568096774575</v>
      </c>
    </row>
    <row r="2726" spans="1:6" x14ac:dyDescent="0.3">
      <c r="A2726">
        <v>0.1</v>
      </c>
      <c r="B2726" t="s">
        <v>98</v>
      </c>
      <c r="C2726">
        <v>-0.48</v>
      </c>
      <c r="D2726">
        <v>-0.5229842775913438</v>
      </c>
      <c r="E2726">
        <v>7.1508386334685717E-2</v>
      </c>
      <c r="F2726">
        <v>120.10335117837978</v>
      </c>
    </row>
    <row r="2727" spans="1:6" x14ac:dyDescent="0.3">
      <c r="A2727">
        <v>0.1</v>
      </c>
      <c r="B2727" t="s">
        <v>98</v>
      </c>
      <c r="C2727">
        <v>-0.47</v>
      </c>
      <c r="D2727">
        <v>-0.51007033661330725</v>
      </c>
      <c r="E2727">
        <v>7.1321883556670254E-2</v>
      </c>
      <c r="F2727">
        <v>122.87419150683991</v>
      </c>
    </row>
    <row r="2728" spans="1:6" x14ac:dyDescent="0.3">
      <c r="A2728">
        <v>0.1</v>
      </c>
      <c r="B2728" t="s">
        <v>98</v>
      </c>
      <c r="C2728">
        <v>-0.46</v>
      </c>
      <c r="D2728">
        <v>-0.49731128757203097</v>
      </c>
      <c r="E2728">
        <v>7.1130230242183762E-2</v>
      </c>
      <c r="F2728">
        <v>125.74417212715841</v>
      </c>
    </row>
    <row r="2729" spans="1:6" x14ac:dyDescent="0.3">
      <c r="A2729">
        <v>0.1</v>
      </c>
      <c r="B2729" t="s">
        <v>98</v>
      </c>
      <c r="C2729">
        <v>-0.45</v>
      </c>
      <c r="D2729">
        <v>-0.48470027859405168</v>
      </c>
      <c r="E2729">
        <v>7.0933151911858727E-2</v>
      </c>
      <c r="F2729">
        <v>128.71972085139325</v>
      </c>
    </row>
    <row r="2730" spans="1:6" x14ac:dyDescent="0.3">
      <c r="A2730">
        <v>0.1</v>
      </c>
      <c r="B2730" t="s">
        <v>98</v>
      </c>
      <c r="C2730">
        <v>-0.44</v>
      </c>
      <c r="D2730">
        <v>-0.47223080442042559</v>
      </c>
      <c r="E2730">
        <v>7.0730345284641852E-2</v>
      </c>
      <c r="F2730">
        <v>131.80780908046191</v>
      </c>
    </row>
    <row r="2731" spans="1:6" x14ac:dyDescent="0.3">
      <c r="A2731">
        <v>0.1</v>
      </c>
      <c r="B2731" t="s">
        <v>98</v>
      </c>
      <c r="C2731">
        <v>-0.43</v>
      </c>
      <c r="D2731">
        <v>-0.45989668121267852</v>
      </c>
      <c r="E2731">
        <v>7.0521475813996801E-2</v>
      </c>
      <c r="F2731">
        <v>135.01601303347277</v>
      </c>
    </row>
    <row r="2732" spans="1:6" x14ac:dyDescent="0.3">
      <c r="A2732">
        <v>0.1</v>
      </c>
      <c r="B2732" t="s">
        <v>98</v>
      </c>
      <c r="C2732">
        <v>-0.42</v>
      </c>
      <c r="D2732">
        <v>-0.4476920235274206</v>
      </c>
      <c r="E2732">
        <v>7.0306207780194876E-2</v>
      </c>
      <c r="F2732">
        <v>138.35254856790047</v>
      </c>
    </row>
    <row r="2733" spans="1:6" x14ac:dyDescent="0.3">
      <c r="A2733">
        <v>0.1</v>
      </c>
      <c r="B2733" t="s">
        <v>98</v>
      </c>
      <c r="C2733">
        <v>-0.41</v>
      </c>
      <c r="D2733">
        <v>-0.43561122323622431</v>
      </c>
      <c r="E2733">
        <v>7.0084162387352225E-2</v>
      </c>
      <c r="F2733">
        <v>141.82638730514194</v>
      </c>
    </row>
    <row r="2734" spans="1:6" x14ac:dyDescent="0.3">
      <c r="A2734">
        <v>0.1</v>
      </c>
      <c r="B2734" t="s">
        <v>98</v>
      </c>
      <c r="C2734">
        <v>-0.4</v>
      </c>
      <c r="D2734">
        <v>-0.42364893019360178</v>
      </c>
      <c r="E2734">
        <v>6.985494629024408E-2</v>
      </c>
      <c r="F2734">
        <v>145.44731165209279</v>
      </c>
    </row>
    <row r="2735" spans="1:6" x14ac:dyDescent="0.3">
      <c r="A2735">
        <v>0.1</v>
      </c>
      <c r="B2735" t="s">
        <v>98</v>
      </c>
      <c r="C2735">
        <v>-0.39</v>
      </c>
      <c r="D2735">
        <v>-0.41180003447869035</v>
      </c>
      <c r="E2735">
        <v>6.9618096554158709E-2</v>
      </c>
      <c r="F2735">
        <v>149.22607261435712</v>
      </c>
    </row>
    <row r="2736" spans="1:6" x14ac:dyDescent="0.3">
      <c r="A2736">
        <v>0.1</v>
      </c>
      <c r="B2736" t="s">
        <v>98</v>
      </c>
      <c r="C2736">
        <v>-0.38</v>
      </c>
      <c r="D2736">
        <v>-0.40005965005605654</v>
      </c>
      <c r="E2736">
        <v>6.9373205469319771E-2</v>
      </c>
      <c r="F2736">
        <v>153.17435802258251</v>
      </c>
    </row>
    <row r="2737" spans="1:6" x14ac:dyDescent="0.3">
      <c r="A2737">
        <v>0.1</v>
      </c>
      <c r="B2737" t="s">
        <v>98</v>
      </c>
      <c r="C2737">
        <v>-0.37</v>
      </c>
      <c r="D2737">
        <v>-0.38842309971829614</v>
      </c>
      <c r="E2737">
        <v>6.9119734593114185E-2</v>
      </c>
      <c r="F2737">
        <v>157.30513259043985</v>
      </c>
    </row>
    <row r="2738" spans="1:6" x14ac:dyDescent="0.3">
      <c r="A2738">
        <v>0.1</v>
      </c>
      <c r="B2738" t="s">
        <v>98</v>
      </c>
      <c r="C2738">
        <v>-0.36</v>
      </c>
      <c r="D2738">
        <v>-0.37688590118819004</v>
      </c>
      <c r="E2738">
        <v>6.8857131876108132E-2</v>
      </c>
      <c r="F2738">
        <v>161.63265331941716</v>
      </c>
    </row>
    <row r="2739" spans="1:6" x14ac:dyDescent="0.3">
      <c r="A2739">
        <v>0.1</v>
      </c>
      <c r="B2739" t="s">
        <v>98</v>
      </c>
      <c r="C2739">
        <v>-0.35</v>
      </c>
      <c r="D2739">
        <v>-0.36544375427139619</v>
      </c>
      <c r="E2739">
        <v>6.8584844666361097E-2</v>
      </c>
      <c r="F2739">
        <v>166.17261705191549</v>
      </c>
    </row>
    <row r="2740" spans="1:6" x14ac:dyDescent="0.3">
      <c r="A2740">
        <v>0.1</v>
      </c>
      <c r="B2740" t="s">
        <v>98</v>
      </c>
      <c r="C2740">
        <v>-0.34</v>
      </c>
      <c r="D2740">
        <v>-0.35409252896224297</v>
      </c>
      <c r="E2740">
        <v>6.8302210341343012E-2</v>
      </c>
      <c r="F2740">
        <v>170.94249810713799</v>
      </c>
    </row>
    <row r="2741" spans="1:6" x14ac:dyDescent="0.3">
      <c r="A2741">
        <v>0.1</v>
      </c>
      <c r="B2741" t="s">
        <v>98</v>
      </c>
      <c r="C2741">
        <v>-0.33</v>
      </c>
      <c r="D2741">
        <v>-0.34282825441539394</v>
      </c>
      <c r="E2741">
        <v>6.8008553935676341E-2</v>
      </c>
      <c r="F2741">
        <v>175.96165460513097</v>
      </c>
    </row>
    <row r="2742" spans="1:6" x14ac:dyDescent="0.3">
      <c r="A2742">
        <v>0.1</v>
      </c>
      <c r="B2742" t="s">
        <v>98</v>
      </c>
      <c r="C2742">
        <v>-0.32</v>
      </c>
      <c r="D2742">
        <v>-0.3316471087051322</v>
      </c>
      <c r="E2742">
        <v>6.7703108685599214E-2</v>
      </c>
      <c r="F2742">
        <v>181.2517061170783</v>
      </c>
    </row>
    <row r="2743" spans="1:6" x14ac:dyDescent="0.3">
      <c r="A2743">
        <v>0.1</v>
      </c>
      <c r="B2743" t="s">
        <v>98</v>
      </c>
      <c r="C2743">
        <v>-0.31</v>
      </c>
      <c r="D2743">
        <v>-0.32054540930194608</v>
      </c>
      <c r="E2743">
        <v>6.7385050406727862E-2</v>
      </c>
      <c r="F2743">
        <v>186.8368084129703</v>
      </c>
    </row>
    <row r="2744" spans="1:6" x14ac:dyDescent="0.3">
      <c r="A2744">
        <v>0.1</v>
      </c>
      <c r="B2744" t="s">
        <v>98</v>
      </c>
      <c r="C2744">
        <v>-0.3</v>
      </c>
      <c r="D2744">
        <v>-0.30951960420311175</v>
      </c>
      <c r="E2744">
        <v>6.7053484122213833E-2</v>
      </c>
      <c r="F2744">
        <v>192.74405002226334</v>
      </c>
    </row>
    <row r="2745" spans="1:6" x14ac:dyDescent="0.3">
      <c r="A2745">
        <v>0.1</v>
      </c>
      <c r="B2745" t="s">
        <v>98</v>
      </c>
      <c r="C2745">
        <v>-0.28999999999999998</v>
      </c>
      <c r="D2745">
        <v>-0.29856626366017835</v>
      </c>
      <c r="E2745">
        <v>6.6707405909663176E-2</v>
      </c>
      <c r="F2745">
        <v>199.00396386666029</v>
      </c>
    </row>
    <row r="2746" spans="1:6" x14ac:dyDescent="0.3">
      <c r="A2746">
        <v>0.1</v>
      </c>
      <c r="B2746" t="s">
        <v>98</v>
      </c>
      <c r="C2746">
        <v>-0.28000000000000003</v>
      </c>
      <c r="D2746">
        <v>-0.2876820724517809</v>
      </c>
      <c r="E2746">
        <v>6.6345723129702078E-2</v>
      </c>
      <c r="F2746">
        <v>205.65103851327683</v>
      </c>
    </row>
    <row r="2747" spans="1:6" x14ac:dyDescent="0.3">
      <c r="A2747">
        <v>0.1</v>
      </c>
      <c r="B2747" t="s">
        <v>98</v>
      </c>
      <c r="C2747">
        <v>-0.27</v>
      </c>
      <c r="D2747">
        <v>-0.27686382265510007</v>
      </c>
      <c r="E2747">
        <v>6.5967233610404324E-2</v>
      </c>
      <c r="F2747">
        <v>212.72440158228119</v>
      </c>
    </row>
    <row r="2748" spans="1:6" x14ac:dyDescent="0.3">
      <c r="A2748">
        <v>0.1</v>
      </c>
      <c r="B2748" t="s">
        <v>98</v>
      </c>
      <c r="C2748">
        <v>-0.26</v>
      </c>
      <c r="D2748">
        <v>-0.26610840687365411</v>
      </c>
      <c r="E2748">
        <v>6.5570615809297406E-2</v>
      </c>
      <c r="F2748">
        <v>220.26862335229751</v>
      </c>
    </row>
    <row r="2749" spans="1:6" x14ac:dyDescent="0.3">
      <c r="A2749">
        <v>0.1</v>
      </c>
      <c r="B2749" t="s">
        <v>98</v>
      </c>
      <c r="C2749">
        <v>-0.25</v>
      </c>
      <c r="D2749">
        <v>-0.25541281188299536</v>
      </c>
      <c r="E2749">
        <v>6.5154355954112217E-2</v>
      </c>
      <c r="F2749">
        <v>228.33481579187162</v>
      </c>
    </row>
    <row r="2750" spans="1:6" x14ac:dyDescent="0.3">
      <c r="A2750">
        <v>0.1</v>
      </c>
      <c r="B2750" t="s">
        <v>98</v>
      </c>
      <c r="C2750">
        <v>-0.24</v>
      </c>
      <c r="D2750">
        <v>-0.24477411265935289</v>
      </c>
      <c r="E2750">
        <v>6.4716811181538256E-2</v>
      </c>
      <c r="F2750">
        <v>236.98169891736683</v>
      </c>
    </row>
    <row r="2751" spans="1:6" x14ac:dyDescent="0.3">
      <c r="A2751">
        <v>0.1</v>
      </c>
      <c r="B2751" t="s">
        <v>98</v>
      </c>
      <c r="C2751">
        <v>-0.23</v>
      </c>
      <c r="D2751">
        <v>-0.23418946675936678</v>
      </c>
      <c r="E2751">
        <v>6.4256150295006559E-2</v>
      </c>
      <c r="F2751">
        <v>246.27716775220853</v>
      </c>
    </row>
    <row r="2752" spans="1:6" x14ac:dyDescent="0.3">
      <c r="A2752">
        <v>0.1</v>
      </c>
      <c r="B2752" t="s">
        <v>98</v>
      </c>
      <c r="C2752">
        <v>-0.22</v>
      </c>
      <c r="D2752">
        <v>-0.22365610902183239</v>
      </c>
      <c r="E2752">
        <v>6.3770288820355375E-2</v>
      </c>
      <c r="F2752">
        <v>256.3002532793746</v>
      </c>
    </row>
    <row r="2753" spans="1:6" x14ac:dyDescent="0.3">
      <c r="A2753">
        <v>0.1</v>
      </c>
      <c r="B2753" t="s">
        <v>98</v>
      </c>
      <c r="C2753">
        <v>-0.21</v>
      </c>
      <c r="D2753">
        <v>-0.21317134656485975</v>
      </c>
      <c r="E2753">
        <v>6.3256890142156741E-2</v>
      </c>
      <c r="F2753">
        <v>267.14341927526004</v>
      </c>
    </row>
    <row r="2754" spans="1:6" x14ac:dyDescent="0.3">
      <c r="A2754">
        <v>0.1</v>
      </c>
      <c r="B2754" t="s">
        <v>98</v>
      </c>
      <c r="C2754">
        <v>-0.2</v>
      </c>
      <c r="D2754">
        <v>-0.20273255405408214</v>
      </c>
      <c r="E2754">
        <v>6.2713307105970464E-2</v>
      </c>
      <c r="F2754">
        <v>278.91560674125571</v>
      </c>
    </row>
    <row r="2755" spans="1:6" x14ac:dyDescent="0.3">
      <c r="A2755">
        <v>0.1</v>
      </c>
      <c r="B2755" t="s">
        <v>98</v>
      </c>
      <c r="C2755">
        <v>-0.19</v>
      </c>
      <c r="D2755">
        <v>-0.1923371692195453</v>
      </c>
      <c r="E2755">
        <v>6.2136515728047362E-2</v>
      </c>
      <c r="F2755">
        <v>291.7461385320363</v>
      </c>
    </row>
    <row r="2756" spans="1:6" x14ac:dyDescent="0.3">
      <c r="A2756">
        <v>0.1</v>
      </c>
      <c r="B2756" t="s">
        <v>98</v>
      </c>
      <c r="C2756">
        <v>-0.18</v>
      </c>
      <c r="D2756">
        <v>-0.18198268860070579</v>
      </c>
      <c r="E2756">
        <v>6.1523085081899111E-2</v>
      </c>
      <c r="F2756">
        <v>305.78964723420637</v>
      </c>
    </row>
    <row r="2757" spans="1:6" x14ac:dyDescent="0.3">
      <c r="A2757">
        <v>0.1</v>
      </c>
      <c r="B2757" t="s">
        <v>98</v>
      </c>
      <c r="C2757">
        <v>-0.17</v>
      </c>
      <c r="D2757">
        <v>-0.17166666350057908</v>
      </c>
      <c r="E2757">
        <v>6.0869060339761999E-2</v>
      </c>
      <c r="F2757">
        <v>321.23276133441595</v>
      </c>
    </row>
    <row r="2758" spans="1:6" x14ac:dyDescent="0.3">
      <c r="A2758">
        <v>0.1</v>
      </c>
      <c r="B2758" t="s">
        <v>98</v>
      </c>
      <c r="C2758">
        <v>-0.16</v>
      </c>
      <c r="D2758">
        <v>-0.16138669613152551</v>
      </c>
      <c r="E2758">
        <v>6.0169852154525492E-2</v>
      </c>
      <c r="F2758">
        <v>338.3029276436128</v>
      </c>
    </row>
    <row r="2759" spans="1:6" x14ac:dyDescent="0.3">
      <c r="A2759">
        <v>0.1</v>
      </c>
      <c r="B2759" t="s">
        <v>98</v>
      </c>
      <c r="C2759">
        <v>-0.15</v>
      </c>
      <c r="D2759">
        <v>-0.15114043593646675</v>
      </c>
      <c r="E2759">
        <v>5.942010565795524E-2</v>
      </c>
      <c r="F2759">
        <v>357.2803142062657</v>
      </c>
    </row>
    <row r="2760" spans="1:6" x14ac:dyDescent="0.3">
      <c r="A2760">
        <v>0.1</v>
      </c>
      <c r="B2760" t="s">
        <v>98</v>
      </c>
      <c r="C2760">
        <v>-0.14000000000000001</v>
      </c>
      <c r="D2760">
        <v>-0.14092557607049394</v>
      </c>
      <c r="E2760">
        <v>5.8613563760021685E-2</v>
      </c>
      <c r="F2760">
        <v>378.51404782593374</v>
      </c>
    </row>
    <row r="2761" spans="1:6" x14ac:dyDescent="0.3">
      <c r="A2761">
        <v>0.1</v>
      </c>
      <c r="B2761" t="s">
        <v>98</v>
      </c>
      <c r="C2761">
        <v>-0.13</v>
      </c>
      <c r="D2761">
        <v>-0.13073985002887836</v>
      </c>
      <c r="E2761">
        <v>5.7742773434373416E-2</v>
      </c>
      <c r="F2761">
        <v>402.44539357660159</v>
      </c>
    </row>
    <row r="2762" spans="1:6" x14ac:dyDescent="0.3">
      <c r="A2762">
        <v>0.1</v>
      </c>
      <c r="B2762" t="s">
        <v>98</v>
      </c>
      <c r="C2762">
        <v>-0.12</v>
      </c>
      <c r="D2762">
        <v>-0.12058102840844405</v>
      </c>
      <c r="E2762">
        <v>5.6798821285830262E-2</v>
      </c>
      <c r="F2762">
        <v>429.64047876499922</v>
      </c>
    </row>
    <row r="2763" spans="1:6" x14ac:dyDescent="0.3">
      <c r="A2763">
        <v>0.1</v>
      </c>
      <c r="B2763" t="s">
        <v>98</v>
      </c>
      <c r="C2763">
        <v>-0.11</v>
      </c>
      <c r="D2763">
        <v>-0.1104469157900972</v>
      </c>
      <c r="E2763">
        <v>5.5770939242903245E-2</v>
      </c>
      <c r="F2763">
        <v>460.83836750513871</v>
      </c>
    </row>
    <row r="2764" spans="1:6" x14ac:dyDescent="0.3">
      <c r="A2764">
        <v>0.1</v>
      </c>
      <c r="B2764" t="s">
        <v>98</v>
      </c>
      <c r="C2764">
        <v>-0.1</v>
      </c>
      <c r="D2764">
        <v>-0.10033534773107562</v>
      </c>
      <c r="E2764">
        <v>5.4645882588941042E-2</v>
      </c>
      <c r="F2764">
        <v>497.02391877939846</v>
      </c>
    </row>
    <row r="2765" spans="1:6" x14ac:dyDescent="0.3">
      <c r="A2765">
        <v>0.1</v>
      </c>
      <c r="B2765" t="s">
        <v>98</v>
      </c>
      <c r="C2765">
        <v>-0.09</v>
      </c>
      <c r="D2765">
        <v>-9.0244187856146837E-2</v>
      </c>
      <c r="E2765">
        <v>5.3407131810323943E-2</v>
      </c>
      <c r="F2765">
        <v>539.54084236531514</v>
      </c>
    </row>
    <row r="2766" spans="1:6" x14ac:dyDescent="0.3">
      <c r="A2766">
        <v>0.1</v>
      </c>
      <c r="B2766" t="s">
        <v>98</v>
      </c>
      <c r="C2766">
        <v>-0.08</v>
      </c>
      <c r="D2766">
        <v>-8.0171325037589683E-2</v>
      </c>
      <c r="E2766">
        <v>5.2033715081840057E-2</v>
      </c>
      <c r="F2766">
        <v>590.27449182523389</v>
      </c>
    </row>
    <row r="2767" spans="1:6" x14ac:dyDescent="0.3">
      <c r="A2767">
        <v>0.1</v>
      </c>
      <c r="B2767" t="s">
        <v>98</v>
      </c>
      <c r="C2767">
        <v>-7.0000000000000007E-2</v>
      </c>
      <c r="D2767">
        <v>-7.0114670654325195E-2</v>
      </c>
      <c r="E2767">
        <v>5.049838821334101E-2</v>
      </c>
      <c r="F2767">
        <v>651.96125807217834</v>
      </c>
    </row>
    <row r="2768" spans="1:6" x14ac:dyDescent="0.3">
      <c r="A2768">
        <v>0.1</v>
      </c>
      <c r="B2768" t="s">
        <v>98</v>
      </c>
      <c r="C2768">
        <v>-0.06</v>
      </c>
      <c r="D2768">
        <v>-6.007215592103167E-2</v>
      </c>
      <c r="E2768">
        <v>4.8764672724853721E-2</v>
      </c>
      <c r="F2768">
        <v>728.74232625747572</v>
      </c>
    </row>
    <row r="2769" spans="1:6" x14ac:dyDescent="0.3">
      <c r="A2769">
        <v>0.1</v>
      </c>
      <c r="B2769" t="s">
        <v>98</v>
      </c>
      <c r="C2769">
        <v>-0.05</v>
      </c>
      <c r="D2769">
        <v>-5.0041729278491327E-2</v>
      </c>
      <c r="E2769">
        <v>4.6782007374103693E-2</v>
      </c>
      <c r="F2769">
        <v>827.22300654228331</v>
      </c>
    </row>
    <row r="2770" spans="1:6" x14ac:dyDescent="0.3">
      <c r="A2770">
        <v>0.1</v>
      </c>
      <c r="B2770" t="s">
        <v>98</v>
      </c>
      <c r="C2770">
        <v>-0.04</v>
      </c>
      <c r="D2770">
        <v>-4.0021353836768248E-2</v>
      </c>
      <c r="E2770">
        <v>4.4476773535768392E-2</v>
      </c>
      <c r="F2770">
        <v>958.69109258273068</v>
      </c>
    </row>
    <row r="2771" spans="1:6" x14ac:dyDescent="0.3">
      <c r="A2771">
        <v>0.1</v>
      </c>
      <c r="B2771" t="s">
        <v>98</v>
      </c>
      <c r="C2771">
        <v>-0.03</v>
      </c>
      <c r="D2771">
        <v>-3.000900486312652E-2</v>
      </c>
      <c r="E2771">
        <v>4.1734286519408761E-2</v>
      </c>
      <c r="F2771">
        <v>1144.3473056872849</v>
      </c>
    </row>
    <row r="2772" spans="1:6" x14ac:dyDescent="0.3">
      <c r="A2772">
        <v>0.1</v>
      </c>
      <c r="B2772" t="s">
        <v>98</v>
      </c>
      <c r="C2772">
        <v>-0.02</v>
      </c>
      <c r="D2772">
        <v>-2.0002667306849624E-2</v>
      </c>
      <c r="E2772">
        <v>3.8356929736211111E-2</v>
      </c>
      <c r="F2772">
        <v>1429.937256846152</v>
      </c>
    </row>
    <row r="2773" spans="1:6" x14ac:dyDescent="0.3">
      <c r="A2773">
        <v>0.1</v>
      </c>
      <c r="B2773" t="s">
        <v>98</v>
      </c>
      <c r="C2773">
        <v>-0.01</v>
      </c>
      <c r="D2773">
        <v>-1.0000333353334771E-2</v>
      </c>
      <c r="E2773">
        <v>3.3941277691215965E-2</v>
      </c>
      <c r="F2773">
        <v>1939.5410128348633</v>
      </c>
    </row>
    <row r="2774" spans="1:6" x14ac:dyDescent="0.3">
      <c r="A2774">
        <v>0.05</v>
      </c>
      <c r="B2774" t="s">
        <v>98</v>
      </c>
      <c r="C2774">
        <v>-0.99</v>
      </c>
      <c r="D2774">
        <v>-2.6466524123622457</v>
      </c>
      <c r="E2774">
        <v>9.4080444232762364E-2</v>
      </c>
      <c r="F2774">
        <v>25.007761609290526</v>
      </c>
    </row>
    <row r="2775" spans="1:6" x14ac:dyDescent="0.3">
      <c r="A2775">
        <v>0.05</v>
      </c>
      <c r="B2775" t="s">
        <v>98</v>
      </c>
      <c r="C2775">
        <v>-0.98</v>
      </c>
      <c r="D2775">
        <v>-2.2975599250672945</v>
      </c>
      <c r="E2775">
        <v>9.3727272674982792E-2</v>
      </c>
      <c r="F2775">
        <v>28.284667639078954</v>
      </c>
    </row>
    <row r="2776" spans="1:6" x14ac:dyDescent="0.3">
      <c r="A2776">
        <v>0.05</v>
      </c>
      <c r="B2776" t="s">
        <v>98</v>
      </c>
      <c r="C2776">
        <v>-0.97</v>
      </c>
      <c r="D2776">
        <v>-2.0922957200349388</v>
      </c>
      <c r="E2776">
        <v>9.3468327551019262E-2</v>
      </c>
      <c r="F2776">
        <v>30.71094505029777</v>
      </c>
    </row>
    <row r="2777" spans="1:6" x14ac:dyDescent="0.3">
      <c r="A2777">
        <v>0.05</v>
      </c>
      <c r="B2777" t="s">
        <v>98</v>
      </c>
      <c r="C2777">
        <v>-0.96</v>
      </c>
      <c r="D2777">
        <v>-1.9459101490553128</v>
      </c>
      <c r="E2777">
        <v>9.3252697808361235E-2</v>
      </c>
      <c r="F2777">
        <v>32.746730116646383</v>
      </c>
    </row>
    <row r="2778" spans="1:6" x14ac:dyDescent="0.3">
      <c r="A2778">
        <v>0.05</v>
      </c>
      <c r="B2778" t="s">
        <v>98</v>
      </c>
      <c r="C2778">
        <v>-0.95</v>
      </c>
      <c r="D2778">
        <v>-1.8317808230648227</v>
      </c>
      <c r="E2778">
        <v>9.3062504350125017E-2</v>
      </c>
      <c r="F2778">
        <v>34.554145581245031</v>
      </c>
    </row>
    <row r="2779" spans="1:6" x14ac:dyDescent="0.3">
      <c r="A2779">
        <v>0.05</v>
      </c>
      <c r="B2779" t="s">
        <v>98</v>
      </c>
      <c r="C2779">
        <v>-0.94</v>
      </c>
      <c r="D2779">
        <v>-1.7380493449176362</v>
      </c>
      <c r="E2779">
        <v>9.2889134665386591E-2</v>
      </c>
      <c r="F2779">
        <v>36.21150085736361</v>
      </c>
    </row>
    <row r="2780" spans="1:6" x14ac:dyDescent="0.3">
      <c r="A2780">
        <v>0.05</v>
      </c>
      <c r="B2780" t="s">
        <v>98</v>
      </c>
      <c r="C2780">
        <v>-0.93</v>
      </c>
      <c r="D2780">
        <v>-1.6583900199247865</v>
      </c>
      <c r="E2780">
        <v>9.2727665482287933E-2</v>
      </c>
      <c r="F2780">
        <v>37.763363248048606</v>
      </c>
    </row>
    <row r="2781" spans="1:6" x14ac:dyDescent="0.3">
      <c r="A2781">
        <v>0.05</v>
      </c>
      <c r="B2781" t="s">
        <v>98</v>
      </c>
      <c r="C2781">
        <v>-0.92</v>
      </c>
      <c r="D2781">
        <v>-1.5890269151739731</v>
      </c>
      <c r="E2781">
        <v>9.2575028037590643E-2</v>
      </c>
      <c r="F2781">
        <v>39.237842767191012</v>
      </c>
    </row>
    <row r="2782" spans="1:6" x14ac:dyDescent="0.3">
      <c r="A2782">
        <v>0.05</v>
      </c>
      <c r="B2782" t="s">
        <v>98</v>
      </c>
      <c r="C2782">
        <v>-0.91</v>
      </c>
      <c r="D2782">
        <v>-1.5275244253552054</v>
      </c>
      <c r="E2782">
        <v>9.2429133226605897E-2</v>
      </c>
      <c r="F2782">
        <v>40.654002581796057</v>
      </c>
    </row>
    <row r="2783" spans="1:6" x14ac:dyDescent="0.3">
      <c r="A2783">
        <v>0.05</v>
      </c>
      <c r="B2783" t="s">
        <v>98</v>
      </c>
      <c r="C2783">
        <v>-0.9</v>
      </c>
      <c r="D2783">
        <v>-1.4722194895832204</v>
      </c>
      <c r="E2783">
        <v>9.2288493641939875E-2</v>
      </c>
      <c r="F2783">
        <v>42.025482541960699</v>
      </c>
    </row>
    <row r="2784" spans="1:6" x14ac:dyDescent="0.3">
      <c r="A2784">
        <v>0.05</v>
      </c>
      <c r="B2784" t="s">
        <v>98</v>
      </c>
      <c r="C2784">
        <v>-0.89</v>
      </c>
      <c r="D2784">
        <v>-1.421925871130636</v>
      </c>
      <c r="E2784">
        <v>9.2152012060376931E-2</v>
      </c>
      <c r="F2784">
        <v>43.36246092500766</v>
      </c>
    </row>
    <row r="2785" spans="1:6" x14ac:dyDescent="0.3">
      <c r="A2785">
        <v>0.05</v>
      </c>
      <c r="B2785" t="s">
        <v>98</v>
      </c>
      <c r="C2785">
        <v>-0.88</v>
      </c>
      <c r="D2785">
        <v>-1.3757676565209744</v>
      </c>
      <c r="E2785">
        <v>9.2018829507305985E-2</v>
      </c>
      <c r="F2785">
        <v>44.67280540584175</v>
      </c>
    </row>
    <row r="2786" spans="1:6" x14ac:dyDescent="0.3">
      <c r="A2786">
        <v>0.05</v>
      </c>
      <c r="B2786" t="s">
        <v>98</v>
      </c>
      <c r="C2786">
        <v>-0.87</v>
      </c>
      <c r="D2786">
        <v>-1.333079629696525</v>
      </c>
      <c r="E2786">
        <v>9.1888289135373682E-2</v>
      </c>
      <c r="F2786">
        <v>45.962765991954235</v>
      </c>
    </row>
    <row r="2787" spans="1:6" x14ac:dyDescent="0.3">
      <c r="A2787">
        <v>0.05</v>
      </c>
      <c r="B2787" t="s">
        <v>98</v>
      </c>
      <c r="C2787">
        <v>-0.86</v>
      </c>
      <c r="D2787">
        <v>-1.2933446720489712</v>
      </c>
      <c r="E2787">
        <v>9.1759830638481268E-2</v>
      </c>
      <c r="F2787">
        <v>47.23744780603235</v>
      </c>
    </row>
    <row r="2788" spans="1:6" x14ac:dyDescent="0.3">
      <c r="A2788">
        <v>0.05</v>
      </c>
      <c r="B2788" t="s">
        <v>98</v>
      </c>
      <c r="C2788">
        <v>-0.85</v>
      </c>
      <c r="D2788">
        <v>-1.2561528119880574</v>
      </c>
      <c r="E2788">
        <v>9.1633021669059816E-2</v>
      </c>
      <c r="F2788">
        <v>48.501096618989813</v>
      </c>
    </row>
    <row r="2789" spans="1:6" x14ac:dyDescent="0.3">
      <c r="A2789">
        <v>0.05</v>
      </c>
      <c r="B2789" t="s">
        <v>98</v>
      </c>
      <c r="C2789">
        <v>-0.84</v>
      </c>
      <c r="D2789">
        <v>-1.2211735176846021</v>
      </c>
      <c r="E2789">
        <v>9.1507479992338076E-2</v>
      </c>
      <c r="F2789">
        <v>49.757328489075142</v>
      </c>
    </row>
    <row r="2790" spans="1:6" x14ac:dyDescent="0.3">
      <c r="A2790">
        <v>0.05</v>
      </c>
      <c r="B2790" t="s">
        <v>98</v>
      </c>
      <c r="C2790">
        <v>-0.83</v>
      </c>
      <c r="D2790">
        <v>-1.1881364043926024</v>
      </c>
      <c r="E2790">
        <v>9.138287100701234E-2</v>
      </c>
      <c r="F2790">
        <v>51.00927715021453</v>
      </c>
    </row>
    <row r="2791" spans="1:6" x14ac:dyDescent="0.3">
      <c r="A2791">
        <v>0.05</v>
      </c>
      <c r="B2791" t="s">
        <v>98</v>
      </c>
      <c r="C2791">
        <v>-0.82</v>
      </c>
      <c r="D2791">
        <v>-1.1568174645903151</v>
      </c>
      <c r="E2791">
        <v>9.1258926334688323E-2</v>
      </c>
      <c r="F2791">
        <v>52.259693688407879</v>
      </c>
    </row>
    <row r="2792" spans="1:6" x14ac:dyDescent="0.3">
      <c r="A2792">
        <v>0.05</v>
      </c>
      <c r="B2792" t="s">
        <v>98</v>
      </c>
      <c r="C2792">
        <v>-0.81</v>
      </c>
      <c r="D2792">
        <v>-1.1270290260496929</v>
      </c>
      <c r="E2792">
        <v>9.1135386146627889E-2</v>
      </c>
      <c r="F2792">
        <v>53.511046504175667</v>
      </c>
    </row>
    <row r="2793" spans="1:6" x14ac:dyDescent="0.3">
      <c r="A2793">
        <v>0.05</v>
      </c>
      <c r="B2793" t="s">
        <v>98</v>
      </c>
      <c r="C2793">
        <v>-0.8</v>
      </c>
      <c r="D2793">
        <v>-1.0986122886681098</v>
      </c>
      <c r="E2793">
        <v>9.1012035467016597E-2</v>
      </c>
      <c r="F2793">
        <v>54.765568763862234</v>
      </c>
    </row>
    <row r="2794" spans="1:6" x14ac:dyDescent="0.3">
      <c r="A2794">
        <v>0.05</v>
      </c>
      <c r="B2794" t="s">
        <v>98</v>
      </c>
      <c r="C2794">
        <v>-0.79</v>
      </c>
      <c r="D2794">
        <v>-1.0714316840586662</v>
      </c>
      <c r="E2794">
        <v>9.0888670835217317E-2</v>
      </c>
      <c r="F2794">
        <v>56.02531760971199</v>
      </c>
    </row>
    <row r="2795" spans="1:6" x14ac:dyDescent="0.3">
      <c r="A2795">
        <v>0.05</v>
      </c>
      <c r="B2795" t="s">
        <v>98</v>
      </c>
      <c r="C2795">
        <v>-0.78</v>
      </c>
      <c r="D2795">
        <v>-1.0453705484668847</v>
      </c>
      <c r="E2795">
        <v>9.0765118397546557E-2</v>
      </c>
      <c r="F2795">
        <v>57.292204166988803</v>
      </c>
    </row>
    <row r="2796" spans="1:6" x14ac:dyDescent="0.3">
      <c r="A2796">
        <v>0.05</v>
      </c>
      <c r="B2796" t="s">
        <v>98</v>
      </c>
      <c r="C2796">
        <v>-0.77</v>
      </c>
      <c r="D2796">
        <v>-1.0203277583223398</v>
      </c>
      <c r="E2796">
        <v>9.064120043075917E-2</v>
      </c>
      <c r="F2796">
        <v>58.56803662489898</v>
      </c>
    </row>
    <row r="2797" spans="1:6" x14ac:dyDescent="0.3">
      <c r="A2797">
        <v>0.05</v>
      </c>
      <c r="B2797" t="s">
        <v>98</v>
      </c>
      <c r="C2797">
        <v>-0.76</v>
      </c>
      <c r="D2797">
        <v>-0.99621508234510314</v>
      </c>
      <c r="E2797">
        <v>9.0516759094685539E-2</v>
      </c>
      <c r="F2797">
        <v>59.854535096461241</v>
      </c>
    </row>
    <row r="2798" spans="1:6" x14ac:dyDescent="0.3">
      <c r="A2798">
        <v>0.05</v>
      </c>
      <c r="B2798" t="s">
        <v>98</v>
      </c>
      <c r="C2798">
        <v>-0.75</v>
      </c>
      <c r="D2798">
        <v>-0.97295507452765673</v>
      </c>
      <c r="E2798">
        <v>9.039165218927768E-2</v>
      </c>
      <c r="F2798">
        <v>61.153353098221999</v>
      </c>
    </row>
    <row r="2799" spans="1:6" x14ac:dyDescent="0.3">
      <c r="A2799">
        <v>0.05</v>
      </c>
      <c r="B2799" t="s">
        <v>98</v>
      </c>
      <c r="C2799">
        <v>-0.74</v>
      </c>
      <c r="D2799">
        <v>-0.95047938059652348</v>
      </c>
      <c r="E2799">
        <v>9.0265722730709042E-2</v>
      </c>
      <c r="F2799">
        <v>62.466107891049568</v>
      </c>
    </row>
    <row r="2800" spans="1:6" x14ac:dyDescent="0.3">
      <c r="A2800">
        <v>0.05</v>
      </c>
      <c r="B2800" t="s">
        <v>98</v>
      </c>
      <c r="C2800">
        <v>-0.73</v>
      </c>
      <c r="D2800">
        <v>-0.92872736424672497</v>
      </c>
      <c r="E2800">
        <v>9.0138834741020621E-2</v>
      </c>
      <c r="F2800">
        <v>63.794379590597615</v>
      </c>
    </row>
    <row r="2801" spans="1:6" x14ac:dyDescent="0.3">
      <c r="A2801">
        <v>0.05</v>
      </c>
      <c r="B2801" t="s">
        <v>98</v>
      </c>
      <c r="C2801">
        <v>-0.72</v>
      </c>
      <c r="D2801">
        <v>-0.90764498331912458</v>
      </c>
      <c r="E2801">
        <v>9.001086573589534E-2</v>
      </c>
      <c r="F2801">
        <v>65.139726582190434</v>
      </c>
    </row>
    <row r="2802" spans="1:6" x14ac:dyDescent="0.3">
      <c r="A2802">
        <v>0.05</v>
      </c>
      <c r="B2802" t="s">
        <v>98</v>
      </c>
      <c r="C2802">
        <v>-0.71</v>
      </c>
      <c r="D2802">
        <v>-0.88718386325809284</v>
      </c>
      <c r="E2802">
        <v>8.988166232042899E-2</v>
      </c>
      <c r="F2802">
        <v>66.503717884054737</v>
      </c>
    </row>
    <row r="2803" spans="1:6" x14ac:dyDescent="0.3">
      <c r="A2803">
        <v>0.05</v>
      </c>
      <c r="B2803" t="s">
        <v>98</v>
      </c>
      <c r="C2803">
        <v>-0.7</v>
      </c>
      <c r="D2803">
        <v>-0.86730052769405308</v>
      </c>
      <c r="E2803">
        <v>8.9751129350350872E-2</v>
      </c>
      <c r="F2803">
        <v>67.887900895578326</v>
      </c>
    </row>
    <row r="2804" spans="1:6" x14ac:dyDescent="0.3">
      <c r="A2804">
        <v>0.05</v>
      </c>
      <c r="B2804" t="s">
        <v>98</v>
      </c>
      <c r="C2804">
        <v>-0.69</v>
      </c>
      <c r="D2804">
        <v>-0.84795575521896349</v>
      </c>
      <c r="E2804">
        <v>8.9619128926793773E-2</v>
      </c>
      <c r="F2804">
        <v>69.293859082395187</v>
      </c>
    </row>
    <row r="2805" spans="1:6" x14ac:dyDescent="0.3">
      <c r="A2805">
        <v>0.05</v>
      </c>
      <c r="B2805" t="s">
        <v>98</v>
      </c>
      <c r="C2805">
        <v>-0.68</v>
      </c>
      <c r="D2805">
        <v>-0.82911403830176633</v>
      </c>
      <c r="E2805">
        <v>8.9485515321827941E-2</v>
      </c>
      <c r="F2805">
        <v>70.723205186194932</v>
      </c>
    </row>
    <row r="2806" spans="1:6" x14ac:dyDescent="0.3">
      <c r="A2806">
        <v>0.05</v>
      </c>
      <c r="B2806" t="s">
        <v>98</v>
      </c>
      <c r="C2806">
        <v>-0.67</v>
      </c>
      <c r="D2806">
        <v>-0.81074312547513749</v>
      </c>
      <c r="E2806">
        <v>8.9350180543511112E-2</v>
      </c>
      <c r="F2806">
        <v>72.177565888234952</v>
      </c>
    </row>
    <row r="2807" spans="1:6" x14ac:dyDescent="0.3">
      <c r="A2807">
        <v>0.05</v>
      </c>
      <c r="B2807" t="s">
        <v>98</v>
      </c>
      <c r="C2807">
        <v>-0.66</v>
      </c>
      <c r="D2807">
        <v>-0.79281363187019105</v>
      </c>
      <c r="E2807">
        <v>8.9212986294624319E-2</v>
      </c>
      <c r="F2807">
        <v>73.658624954967081</v>
      </c>
    </row>
    <row r="2808" spans="1:6" x14ac:dyDescent="0.3">
      <c r="A2808">
        <v>0.05</v>
      </c>
      <c r="B2808" t="s">
        <v>98</v>
      </c>
      <c r="C2808">
        <v>-0.65</v>
      </c>
      <c r="D2808">
        <v>-0.7752987062055835</v>
      </c>
      <c r="E2808">
        <v>8.907380778990602E-2</v>
      </c>
      <c r="F2808">
        <v>75.168108711373364</v>
      </c>
    </row>
    <row r="2809" spans="1:6" x14ac:dyDescent="0.3">
      <c r="A2809">
        <v>0.05</v>
      </c>
      <c r="B2809" t="s">
        <v>98</v>
      </c>
      <c r="C2809">
        <v>-0.64</v>
      </c>
      <c r="D2809">
        <v>-0.7581737446840443</v>
      </c>
      <c r="E2809">
        <v>8.8932513001365843E-2</v>
      </c>
      <c r="F2809">
        <v>76.707805182116672</v>
      </c>
    </row>
    <row r="2810" spans="1:6" x14ac:dyDescent="0.3">
      <c r="A2810">
        <v>0.05</v>
      </c>
      <c r="B2810" t="s">
        <v>98</v>
      </c>
      <c r="C2810">
        <v>-0.63</v>
      </c>
      <c r="D2810">
        <v>-0.74141614408126888</v>
      </c>
      <c r="E2810">
        <v>8.8788958067407192E-2</v>
      </c>
      <c r="F2810">
        <v>78.279575470046709</v>
      </c>
    </row>
    <row r="2811" spans="1:6" x14ac:dyDescent="0.3">
      <c r="A2811">
        <v>0.05</v>
      </c>
      <c r="B2811" t="s">
        <v>98</v>
      </c>
      <c r="C2811">
        <v>-0.62</v>
      </c>
      <c r="D2811">
        <v>-0.72500508775299921</v>
      </c>
      <c r="E2811">
        <v>8.8643025976144388E-2</v>
      </c>
      <c r="F2811">
        <v>79.885339754187967</v>
      </c>
    </row>
    <row r="2812" spans="1:6" x14ac:dyDescent="0.3">
      <c r="A2812">
        <v>0.05</v>
      </c>
      <c r="B2812" t="s">
        <v>98</v>
      </c>
      <c r="C2812">
        <v>-0.61</v>
      </c>
      <c r="D2812">
        <v>-0.7089213594274083</v>
      </c>
      <c r="E2812">
        <v>8.8494562149266695E-2</v>
      </c>
      <c r="F2812">
        <v>81.527123759055669</v>
      </c>
    </row>
    <row r="2813" spans="1:6" x14ac:dyDescent="0.3">
      <c r="A2813">
        <v>0.05</v>
      </c>
      <c r="B2813" t="s">
        <v>98</v>
      </c>
      <c r="C2813">
        <v>-0.6</v>
      </c>
      <c r="D2813">
        <v>-0.69314718055994529</v>
      </c>
      <c r="E2813">
        <v>8.834341360759089E-2</v>
      </c>
      <c r="F2813">
        <v>83.207045904414088</v>
      </c>
    </row>
    <row r="2814" spans="1:6" x14ac:dyDescent="0.3">
      <c r="A2814">
        <v>0.05</v>
      </c>
      <c r="B2814" t="s">
        <v>98</v>
      </c>
      <c r="C2814">
        <v>-0.59</v>
      </c>
      <c r="D2814">
        <v>-0.67766606775796179</v>
      </c>
      <c r="E2814">
        <v>8.8189436969298179E-2</v>
      </c>
      <c r="F2814">
        <v>84.927321730990073</v>
      </c>
    </row>
    <row r="2815" spans="1:6" x14ac:dyDescent="0.3">
      <c r="A2815">
        <v>0.05</v>
      </c>
      <c r="B2815" t="s">
        <v>98</v>
      </c>
      <c r="C2815">
        <v>-0.57999999999999996</v>
      </c>
      <c r="D2815">
        <v>-0.66246270737179924</v>
      </c>
      <c r="E2815">
        <v>8.8032465331423129E-2</v>
      </c>
      <c r="F2815">
        <v>86.690295333694223</v>
      </c>
    </row>
    <row r="2816" spans="1:6" x14ac:dyDescent="0.3">
      <c r="A2816">
        <v>0.05</v>
      </c>
      <c r="B2816" t="s">
        <v>98</v>
      </c>
      <c r="C2816">
        <v>-0.56999999999999995</v>
      </c>
      <c r="D2816">
        <v>-0.64752284482737277</v>
      </c>
      <c r="E2816">
        <v>8.787234468650866E-2</v>
      </c>
      <c r="F2816">
        <v>88.498427583285761</v>
      </c>
    </row>
    <row r="2817" spans="1:6" x14ac:dyDescent="0.3">
      <c r="A2817">
        <v>0.05</v>
      </c>
      <c r="B2817" t="s">
        <v>98</v>
      </c>
      <c r="C2817">
        <v>-0.56000000000000005</v>
      </c>
      <c r="D2817">
        <v>-0.63283318666563804</v>
      </c>
      <c r="E2817">
        <v>8.7708901943005943E-2</v>
      </c>
      <c r="F2817">
        <v>90.354329137959709</v>
      </c>
    </row>
    <row r="2818" spans="1:6" x14ac:dyDescent="0.3">
      <c r="A2818">
        <v>0.05</v>
      </c>
      <c r="B2818" t="s">
        <v>98</v>
      </c>
      <c r="C2818">
        <v>-0.55000000000000004</v>
      </c>
      <c r="D2818">
        <v>-0.61838131357446346</v>
      </c>
      <c r="E2818">
        <v>8.754195472218973E-2</v>
      </c>
      <c r="F2818">
        <v>92.260767920415404</v>
      </c>
    </row>
    <row r="2819" spans="1:6" x14ac:dyDescent="0.3">
      <c r="A2819">
        <v>0.05</v>
      </c>
      <c r="B2819" t="s">
        <v>98</v>
      </c>
      <c r="C2819">
        <v>-0.54</v>
      </c>
      <c r="D2819">
        <v>-0.60415560296226711</v>
      </c>
      <c r="E2819">
        <v>8.7371307997933162E-2</v>
      </c>
      <c r="F2819">
        <v>94.2206863849337</v>
      </c>
    </row>
    <row r="2820" spans="1:6" x14ac:dyDescent="0.3">
      <c r="A2820">
        <v>0.05</v>
      </c>
      <c r="B2820" t="s">
        <v>98</v>
      </c>
      <c r="C2820">
        <v>-0.53</v>
      </c>
      <c r="D2820">
        <v>-0.59014515984118854</v>
      </c>
      <c r="E2820">
        <v>8.7196776252938646E-2</v>
      </c>
      <c r="F2820">
        <v>96.237201456258248</v>
      </c>
    </row>
    <row r="2821" spans="1:6" x14ac:dyDescent="0.3">
      <c r="A2821">
        <v>0.05</v>
      </c>
      <c r="B2821" t="s">
        <v>98</v>
      </c>
      <c r="C2821">
        <v>-0.52</v>
      </c>
      <c r="D2821">
        <v>-0.57633975496919276</v>
      </c>
      <c r="E2821">
        <v>8.7018143074929111E-2</v>
      </c>
      <c r="F2821">
        <v>98.31365135795015</v>
      </c>
    </row>
    <row r="2822" spans="1:6" x14ac:dyDescent="0.3">
      <c r="A2822">
        <v>0.05</v>
      </c>
      <c r="B2822" t="s">
        <v>98</v>
      </c>
      <c r="C2822">
        <v>-0.51</v>
      </c>
      <c r="D2822">
        <v>-0.56272976935214891</v>
      </c>
      <c r="E2822">
        <v>8.6835197073089607E-2</v>
      </c>
      <c r="F2822">
        <v>100.45358885478581</v>
      </c>
    </row>
    <row r="2823" spans="1:6" x14ac:dyDescent="0.3">
      <c r="A2823">
        <v>0.05</v>
      </c>
      <c r="B2823" t="s">
        <v>98</v>
      </c>
      <c r="C2823">
        <v>-0.5</v>
      </c>
      <c r="D2823">
        <v>-0.54930614433405489</v>
      </c>
      <c r="E2823">
        <v>8.6647694306288381E-2</v>
      </c>
      <c r="F2823">
        <v>102.66083143377917</v>
      </c>
    </row>
    <row r="2824" spans="1:6" x14ac:dyDescent="0.3">
      <c r="A2824">
        <v>0.05</v>
      </c>
      <c r="B2824" t="s">
        <v>98</v>
      </c>
      <c r="C2824">
        <v>-0.49</v>
      </c>
      <c r="D2824">
        <v>-0.53606033661056662</v>
      </c>
      <c r="E2824">
        <v>8.6455394543046168E-2</v>
      </c>
      <c r="F2824">
        <v>104.93945733268006</v>
      </c>
    </row>
    <row r="2825" spans="1:6" x14ac:dyDescent="0.3">
      <c r="A2825">
        <v>0.05</v>
      </c>
      <c r="B2825" t="s">
        <v>98</v>
      </c>
      <c r="C2825">
        <v>-0.48</v>
      </c>
      <c r="D2825">
        <v>-0.5229842775913438</v>
      </c>
      <c r="E2825">
        <v>8.625804923808042E-2</v>
      </c>
      <c r="F2825">
        <v>107.29384053332809</v>
      </c>
    </row>
    <row r="2826" spans="1:6" x14ac:dyDescent="0.3">
      <c r="A2826">
        <v>0.05</v>
      </c>
      <c r="B2826" t="s">
        <v>98</v>
      </c>
      <c r="C2826">
        <v>-0.47</v>
      </c>
      <c r="D2826">
        <v>-0.51007033661330725</v>
      </c>
      <c r="E2826">
        <v>8.6055369139874105E-2</v>
      </c>
      <c r="F2826">
        <v>109.72870783281634</v>
      </c>
    </row>
    <row r="2827" spans="1:6" x14ac:dyDescent="0.3">
      <c r="A2827">
        <v>0.05</v>
      </c>
      <c r="B2827" t="s">
        <v>98</v>
      </c>
      <c r="C2827">
        <v>-0.46</v>
      </c>
      <c r="D2827">
        <v>-0.49731128757203097</v>
      </c>
      <c r="E2827">
        <v>8.5847062088650686E-2</v>
      </c>
      <c r="F2827">
        <v>112.2491410319976</v>
      </c>
    </row>
    <row r="2828" spans="1:6" x14ac:dyDescent="0.3">
      <c r="A2828">
        <v>0.05</v>
      </c>
      <c r="B2828" t="s">
        <v>98</v>
      </c>
      <c r="C2828">
        <v>-0.45</v>
      </c>
      <c r="D2828">
        <v>-0.48470027859405168</v>
      </c>
      <c r="E2828">
        <v>8.5632814105522995E-2</v>
      </c>
      <c r="F2828">
        <v>114.86062981746204</v>
      </c>
    </row>
    <row r="2829" spans="1:6" x14ac:dyDescent="0.3">
      <c r="A2829">
        <v>0.05</v>
      </c>
      <c r="B2829" t="s">
        <v>98</v>
      </c>
      <c r="C2829">
        <v>-0.44</v>
      </c>
      <c r="D2829">
        <v>-0.47223080442042559</v>
      </c>
      <c r="E2829">
        <v>8.5412294760603635E-2</v>
      </c>
      <c r="F2829">
        <v>117.56910884228805</v>
      </c>
    </row>
    <row r="2830" spans="1:6" x14ac:dyDescent="0.3">
      <c r="A2830">
        <v>0.05</v>
      </c>
      <c r="B2830" t="s">
        <v>98</v>
      </c>
      <c r="C2830">
        <v>-0.43</v>
      </c>
      <c r="D2830">
        <v>-0.45989668121267852</v>
      </c>
      <c r="E2830">
        <v>8.5185152852876894E-2</v>
      </c>
      <c r="F2830">
        <v>120.38100848818716</v>
      </c>
    </row>
    <row r="2831" spans="1:6" x14ac:dyDescent="0.3">
      <c r="A2831">
        <v>0.05</v>
      </c>
      <c r="B2831" t="s">
        <v>98</v>
      </c>
      <c r="C2831">
        <v>-0.42</v>
      </c>
      <c r="D2831">
        <v>-0.4476920235274206</v>
      </c>
      <c r="E2831">
        <v>8.4951003681885601E-2</v>
      </c>
      <c r="F2831">
        <v>123.30332056609045</v>
      </c>
    </row>
    <row r="2832" spans="1:6" x14ac:dyDescent="0.3">
      <c r="A2832">
        <v>0.05</v>
      </c>
      <c r="B2832" t="s">
        <v>98</v>
      </c>
      <c r="C2832">
        <v>-0.41</v>
      </c>
      <c r="D2832">
        <v>-0.43561122323622431</v>
      </c>
      <c r="E2832">
        <v>8.4709429289110946E-2</v>
      </c>
      <c r="F2832">
        <v>126.34365969905876</v>
      </c>
    </row>
    <row r="2833" spans="1:6" x14ac:dyDescent="0.3">
      <c r="A2833">
        <v>0.05</v>
      </c>
      <c r="B2833" t="s">
        <v>98</v>
      </c>
      <c r="C2833">
        <v>-0.4</v>
      </c>
      <c r="D2833">
        <v>-0.42364893019360178</v>
      </c>
      <c r="E2833">
        <v>8.4459995305885147E-2</v>
      </c>
      <c r="F2833">
        <v>129.51031516003371</v>
      </c>
    </row>
    <row r="2834" spans="1:6" x14ac:dyDescent="0.3">
      <c r="A2834">
        <v>0.05</v>
      </c>
      <c r="B2834" t="s">
        <v>98</v>
      </c>
      <c r="C2834">
        <v>-0.39</v>
      </c>
      <c r="D2834">
        <v>-0.41180003447869035</v>
      </c>
      <c r="E2834">
        <v>8.4202243655644243E-2</v>
      </c>
      <c r="F2834">
        <v>132.81233518251534</v>
      </c>
    </row>
    <row r="2835" spans="1:6" x14ac:dyDescent="0.3">
      <c r="A2835">
        <v>0.05</v>
      </c>
      <c r="B2835" t="s">
        <v>98</v>
      </c>
      <c r="C2835">
        <v>-0.38</v>
      </c>
      <c r="D2835">
        <v>-0.40005965005605654</v>
      </c>
      <c r="E2835">
        <v>8.3935630800905353E-2</v>
      </c>
      <c r="F2835">
        <v>136.25968460357586</v>
      </c>
    </row>
    <row r="2836" spans="1:6" x14ac:dyDescent="0.3">
      <c r="A2836">
        <v>0.05</v>
      </c>
      <c r="B2836" t="s">
        <v>98</v>
      </c>
      <c r="C2836">
        <v>-0.37</v>
      </c>
      <c r="D2836">
        <v>-0.38842309971829614</v>
      </c>
      <c r="E2836">
        <v>8.3659653055413105E-2</v>
      </c>
      <c r="F2836">
        <v>139.86321079967848</v>
      </c>
    </row>
    <row r="2837" spans="1:6" x14ac:dyDescent="0.3">
      <c r="A2837">
        <v>0.05</v>
      </c>
      <c r="B2837" t="s">
        <v>98</v>
      </c>
      <c r="C2837">
        <v>-0.36</v>
      </c>
      <c r="D2837">
        <v>-0.37688590118819004</v>
      </c>
      <c r="E2837">
        <v>8.3373662095735532E-2</v>
      </c>
      <c r="F2837">
        <v>143.63496936666141</v>
      </c>
    </row>
    <row r="2838" spans="1:6" x14ac:dyDescent="0.3">
      <c r="A2838">
        <v>0.05</v>
      </c>
      <c r="B2838" t="s">
        <v>98</v>
      </c>
      <c r="C2838">
        <v>-0.35</v>
      </c>
      <c r="D2838">
        <v>-0.36544375427139619</v>
      </c>
      <c r="E2838">
        <v>8.3077050887170933E-2</v>
      </c>
      <c r="F2838">
        <v>147.58814988113986</v>
      </c>
    </row>
    <row r="2839" spans="1:6" x14ac:dyDescent="0.3">
      <c r="A2839">
        <v>0.05</v>
      </c>
      <c r="B2839" t="s">
        <v>98</v>
      </c>
      <c r="C2839">
        <v>-0.34</v>
      </c>
      <c r="D2839">
        <v>-0.35409252896224297</v>
      </c>
      <c r="E2839">
        <v>8.2769121503084686E-2</v>
      </c>
      <c r="F2839">
        <v>151.73738685487351</v>
      </c>
    </row>
    <row r="2840" spans="1:6" x14ac:dyDescent="0.3">
      <c r="A2840">
        <v>0.05</v>
      </c>
      <c r="B2840" t="s">
        <v>98</v>
      </c>
      <c r="C2840">
        <v>-0.33</v>
      </c>
      <c r="D2840">
        <v>-0.34282825441539394</v>
      </c>
      <c r="E2840">
        <v>8.2449092524768855E-2</v>
      </c>
      <c r="F2840">
        <v>156.09894287773363</v>
      </c>
    </row>
    <row r="2841" spans="1:6" x14ac:dyDescent="0.3">
      <c r="A2841">
        <v>0.05</v>
      </c>
      <c r="B2841" t="s">
        <v>98</v>
      </c>
      <c r="C2841">
        <v>-0.32</v>
      </c>
      <c r="D2841">
        <v>-0.3316471087051322</v>
      </c>
      <c r="E2841">
        <v>8.2116126970707651E-2</v>
      </c>
      <c r="F2841">
        <v>160.69089283170729</v>
      </c>
    </row>
    <row r="2842" spans="1:6" x14ac:dyDescent="0.3">
      <c r="A2842">
        <v>0.05</v>
      </c>
      <c r="B2842" t="s">
        <v>98</v>
      </c>
      <c r="C2842">
        <v>-0.31</v>
      </c>
      <c r="D2842">
        <v>-0.32054540930194608</v>
      </c>
      <c r="E2842">
        <v>8.1769328261689658E-2</v>
      </c>
      <c r="F2842">
        <v>165.53338249243677</v>
      </c>
    </row>
    <row r="2843" spans="1:6" x14ac:dyDescent="0.3">
      <c r="A2843">
        <v>0.05</v>
      </c>
      <c r="B2843" t="s">
        <v>98</v>
      </c>
      <c r="C2843">
        <v>-0.3</v>
      </c>
      <c r="D2843">
        <v>-0.30951960420311175</v>
      </c>
      <c r="E2843">
        <v>8.1407708858871025E-2</v>
      </c>
      <c r="F2843">
        <v>170.6489723969342</v>
      </c>
    </row>
    <row r="2844" spans="1:6" x14ac:dyDescent="0.3">
      <c r="A2844">
        <v>0.05</v>
      </c>
      <c r="B2844" t="s">
        <v>98</v>
      </c>
      <c r="C2844">
        <v>-0.28999999999999998</v>
      </c>
      <c r="D2844">
        <v>-0.29856626366017835</v>
      </c>
      <c r="E2844">
        <v>8.1030168221795235E-2</v>
      </c>
      <c r="F2844">
        <v>176.06303100245481</v>
      </c>
    </row>
    <row r="2845" spans="1:6" x14ac:dyDescent="0.3">
      <c r="A2845">
        <v>0.05</v>
      </c>
      <c r="B2845" t="s">
        <v>98</v>
      </c>
      <c r="C2845">
        <v>-0.28000000000000003</v>
      </c>
      <c r="D2845">
        <v>-0.2876820724517809</v>
      </c>
      <c r="E2845">
        <v>8.0635511440284149E-2</v>
      </c>
      <c r="F2845">
        <v>181.80413679215764</v>
      </c>
    </row>
    <row r="2846" spans="1:6" x14ac:dyDescent="0.3">
      <c r="A2846">
        <v>0.05</v>
      </c>
      <c r="B2846" t="s">
        <v>98</v>
      </c>
      <c r="C2846">
        <v>-0.27</v>
      </c>
      <c r="D2846">
        <v>-0.27686382265510007</v>
      </c>
      <c r="E2846">
        <v>8.0222395995013893E-2</v>
      </c>
      <c r="F2846">
        <v>187.90467502847179</v>
      </c>
    </row>
    <row r="2847" spans="1:6" x14ac:dyDescent="0.3">
      <c r="A2847">
        <v>0.05</v>
      </c>
      <c r="B2847" t="s">
        <v>98</v>
      </c>
      <c r="C2847">
        <v>-0.26</v>
      </c>
      <c r="D2847">
        <v>-0.26610840687365411</v>
      </c>
      <c r="E2847">
        <v>7.9789353738648067E-2</v>
      </c>
      <c r="F2847">
        <v>194.40142598515916</v>
      </c>
    </row>
    <row r="2848" spans="1:6" x14ac:dyDescent="0.3">
      <c r="A2848">
        <v>0.05</v>
      </c>
      <c r="B2848" t="s">
        <v>98</v>
      </c>
      <c r="C2848">
        <v>-0.25</v>
      </c>
      <c r="D2848">
        <v>-0.25541281188299536</v>
      </c>
      <c r="E2848">
        <v>7.9334745980814206E-2</v>
      </c>
      <c r="F2848">
        <v>201.33639249283763</v>
      </c>
    </row>
    <row r="2849" spans="1:6" x14ac:dyDescent="0.3">
      <c r="A2849">
        <v>0.05</v>
      </c>
      <c r="B2849" t="s">
        <v>98</v>
      </c>
      <c r="C2849">
        <v>-0.24</v>
      </c>
      <c r="D2849">
        <v>-0.24477411265935289</v>
      </c>
      <c r="E2849">
        <v>7.8856778462176591E-2</v>
      </c>
      <c r="F2849">
        <v>208.75769330736873</v>
      </c>
    </row>
    <row r="2850" spans="1:6" x14ac:dyDescent="0.3">
      <c r="A2850">
        <v>0.05</v>
      </c>
      <c r="B2850" t="s">
        <v>98</v>
      </c>
      <c r="C2850">
        <v>-0.23</v>
      </c>
      <c r="D2850">
        <v>-0.23418946675936678</v>
      </c>
      <c r="E2850">
        <v>7.8353385529526531E-2</v>
      </c>
      <c r="F2850">
        <v>216.72091231407651</v>
      </c>
    </row>
    <row r="2851" spans="1:6" x14ac:dyDescent="0.3">
      <c r="A2851">
        <v>0.05</v>
      </c>
      <c r="B2851" t="s">
        <v>98</v>
      </c>
      <c r="C2851">
        <v>-0.22</v>
      </c>
      <c r="D2851">
        <v>-0.22365610902183239</v>
      </c>
      <c r="E2851">
        <v>7.7822295937016492E-2</v>
      </c>
      <c r="F2851">
        <v>225.29039074851005</v>
      </c>
    </row>
    <row r="2852" spans="1:6" x14ac:dyDescent="0.3">
      <c r="A2852">
        <v>0.05</v>
      </c>
      <c r="B2852" t="s">
        <v>98</v>
      </c>
      <c r="C2852">
        <v>-0.21</v>
      </c>
      <c r="D2852">
        <v>-0.21317134656485975</v>
      </c>
      <c r="E2852">
        <v>7.7260931422659787E-2</v>
      </c>
      <c r="F2852">
        <v>234.54118779919071</v>
      </c>
    </row>
    <row r="2853" spans="1:6" x14ac:dyDescent="0.3">
      <c r="A2853">
        <v>0.05</v>
      </c>
      <c r="B2853" t="s">
        <v>98</v>
      </c>
      <c r="C2853">
        <v>-0.2</v>
      </c>
      <c r="D2853">
        <v>-0.20273255405408214</v>
      </c>
      <c r="E2853">
        <v>7.6666364570519452E-2</v>
      </c>
      <c r="F2853">
        <v>244.561407953116</v>
      </c>
    </row>
    <row r="2854" spans="1:6" x14ac:dyDescent="0.3">
      <c r="A2854">
        <v>0.05</v>
      </c>
      <c r="B2854" t="s">
        <v>98</v>
      </c>
      <c r="C2854">
        <v>-0.19</v>
      </c>
      <c r="D2854">
        <v>-0.1923371692195453</v>
      </c>
      <c r="E2854">
        <v>7.6035305552350496E-2</v>
      </c>
      <c r="F2854">
        <v>255.45507214034717</v>
      </c>
    </row>
    <row r="2855" spans="1:6" x14ac:dyDescent="0.3">
      <c r="A2855">
        <v>0.05</v>
      </c>
      <c r="B2855" t="s">
        <v>98</v>
      </c>
      <c r="C2855">
        <v>-0.18</v>
      </c>
      <c r="D2855">
        <v>-0.18198268860070579</v>
      </c>
      <c r="E2855">
        <v>7.5363941331611881E-2</v>
      </c>
      <c r="F2855">
        <v>267.34616437704403</v>
      </c>
    </row>
    <row r="2856" spans="1:6" x14ac:dyDescent="0.3">
      <c r="A2856">
        <v>0.05</v>
      </c>
      <c r="B2856" t="s">
        <v>98</v>
      </c>
      <c r="C2856">
        <v>-0.17</v>
      </c>
      <c r="D2856">
        <v>-0.17166666350057908</v>
      </c>
      <c r="E2856">
        <v>7.4647903025526971E-2</v>
      </c>
      <c r="F2856">
        <v>280.3835233688153</v>
      </c>
    </row>
    <row r="2857" spans="1:6" x14ac:dyDescent="0.3">
      <c r="A2857">
        <v>0.05</v>
      </c>
      <c r="B2857" t="s">
        <v>98</v>
      </c>
      <c r="C2857">
        <v>-0.16</v>
      </c>
      <c r="D2857">
        <v>-0.16138669613152551</v>
      </c>
      <c r="E2857">
        <v>7.3882180532061151E-2</v>
      </c>
      <c r="F2857">
        <v>294.74738690799882</v>
      </c>
    </row>
    <row r="2858" spans="1:6" x14ac:dyDescent="0.3">
      <c r="A2858">
        <v>0.05</v>
      </c>
      <c r="B2858" t="s">
        <v>98</v>
      </c>
      <c r="C2858">
        <v>-0.15</v>
      </c>
      <c r="D2858">
        <v>-0.15114043593646675</v>
      </c>
      <c r="E2858">
        <v>7.3060873021469269E-2</v>
      </c>
      <c r="F2858">
        <v>310.6585904085282</v>
      </c>
    </row>
    <row r="2859" spans="1:6" x14ac:dyDescent="0.3">
      <c r="A2859">
        <v>0.05</v>
      </c>
      <c r="B2859" t="s">
        <v>98</v>
      </c>
      <c r="C2859">
        <v>-0.14000000000000001</v>
      </c>
      <c r="D2859">
        <v>-0.14092557607049394</v>
      </c>
      <c r="E2859">
        <v>7.2177077027382935E-2</v>
      </c>
      <c r="F2859">
        <v>328.39051777765002</v>
      </c>
    </row>
    <row r="2860" spans="1:6" x14ac:dyDescent="0.3">
      <c r="A2860">
        <v>0.05</v>
      </c>
      <c r="B2860" t="s">
        <v>98</v>
      </c>
      <c r="C2860">
        <v>-0.13</v>
      </c>
      <c r="D2860">
        <v>-0.13073985002887836</v>
      </c>
      <c r="E2860">
        <v>7.1222659820379286E-2</v>
      </c>
      <c r="F2860">
        <v>348.28587792181725</v>
      </c>
    </row>
    <row r="2861" spans="1:6" x14ac:dyDescent="0.3">
      <c r="A2861">
        <v>0.05</v>
      </c>
      <c r="B2861" t="s">
        <v>98</v>
      </c>
      <c r="C2861">
        <v>-0.12</v>
      </c>
      <c r="D2861">
        <v>-0.12058102840844405</v>
      </c>
      <c r="E2861">
        <v>7.0187826907126188E-2</v>
      </c>
      <c r="F2861">
        <v>370.7809649001361</v>
      </c>
    </row>
    <row r="2862" spans="1:6" x14ac:dyDescent="0.3">
      <c r="A2862">
        <v>0.05</v>
      </c>
      <c r="B2862" t="s">
        <v>98</v>
      </c>
      <c r="C2862">
        <v>-0.11</v>
      </c>
      <c r="D2862">
        <v>-0.1104469157900972</v>
      </c>
      <c r="E2862">
        <v>6.9060787329539547E-2</v>
      </c>
      <c r="F2862">
        <v>396.43990680862697</v>
      </c>
    </row>
    <row r="2863" spans="1:6" x14ac:dyDescent="0.3">
      <c r="A2863">
        <v>0.05</v>
      </c>
      <c r="B2863" t="s">
        <v>98</v>
      </c>
      <c r="C2863">
        <v>-0.1</v>
      </c>
      <c r="D2863">
        <v>-0.10033534773107562</v>
      </c>
      <c r="E2863">
        <v>6.7827094278028452E-2</v>
      </c>
      <c r="F2863">
        <v>426.00631861775685</v>
      </c>
    </row>
    <row r="2864" spans="1:6" x14ac:dyDescent="0.3">
      <c r="A2864">
        <v>0.05</v>
      </c>
      <c r="B2864" t="s">
        <v>98</v>
      </c>
      <c r="C2864">
        <v>-0.09</v>
      </c>
      <c r="D2864">
        <v>-9.0244187856146837E-2</v>
      </c>
      <c r="E2864">
        <v>6.646878080531872E-2</v>
      </c>
      <c r="F2864">
        <v>460.48224468692854</v>
      </c>
    </row>
    <row r="2865" spans="1:6" x14ac:dyDescent="0.3">
      <c r="A2865">
        <v>0.05</v>
      </c>
      <c r="B2865" t="s">
        <v>98</v>
      </c>
      <c r="C2865">
        <v>-0.08</v>
      </c>
      <c r="D2865">
        <v>-8.0171325037589683E-2</v>
      </c>
      <c r="E2865">
        <v>6.4963134056109345E-2</v>
      </c>
      <c r="F2865">
        <v>501.25332720458863</v>
      </c>
    </row>
    <row r="2866" spans="1:6" x14ac:dyDescent="0.3">
      <c r="A2866">
        <v>0.05</v>
      </c>
      <c r="B2866" t="s">
        <v>98</v>
      </c>
      <c r="C2866">
        <v>-7.0000000000000007E-2</v>
      </c>
      <c r="D2866">
        <v>-7.0114670654325195E-2</v>
      </c>
      <c r="E2866">
        <v>6.3280742959696545E-2</v>
      </c>
      <c r="F2866">
        <v>550.29671949922147</v>
      </c>
    </row>
    <row r="2867" spans="1:6" x14ac:dyDescent="0.3">
      <c r="A2867">
        <v>0.05</v>
      </c>
      <c r="B2867" t="s">
        <v>98</v>
      </c>
      <c r="C2867">
        <v>-0.06</v>
      </c>
      <c r="D2867">
        <v>-6.007215592103167E-2</v>
      </c>
      <c r="E2867">
        <v>6.1382638664288655E-2</v>
      </c>
      <c r="F2867">
        <v>610.54201996585857</v>
      </c>
    </row>
    <row r="2868" spans="1:6" x14ac:dyDescent="0.3">
      <c r="A2868">
        <v>0.05</v>
      </c>
      <c r="B2868" t="s">
        <v>98</v>
      </c>
      <c r="C2868">
        <v>-0.05</v>
      </c>
      <c r="D2868">
        <v>-5.0041729278491327E-2</v>
      </c>
      <c r="E2868">
        <v>5.9215208775199105E-2</v>
      </c>
      <c r="F2868">
        <v>686.54352301644303</v>
      </c>
    </row>
    <row r="2869" spans="1:6" x14ac:dyDescent="0.3">
      <c r="A2869">
        <v>0.05</v>
      </c>
      <c r="B2869" t="s">
        <v>98</v>
      </c>
      <c r="C2869">
        <v>-0.04</v>
      </c>
      <c r="D2869">
        <v>-4.0021353836768248E-2</v>
      </c>
      <c r="E2869">
        <v>5.6701605222718214E-2</v>
      </c>
      <c r="F2869">
        <v>785.82837654153298</v>
      </c>
    </row>
    <row r="2870" spans="1:6" x14ac:dyDescent="0.3">
      <c r="A2870">
        <v>0.05</v>
      </c>
      <c r="B2870" t="s">
        <v>98</v>
      </c>
      <c r="C2870">
        <v>-0.03</v>
      </c>
      <c r="D2870">
        <v>-3.000900486312652E-2</v>
      </c>
      <c r="E2870">
        <v>5.3724567681800971E-2</v>
      </c>
      <c r="F2870">
        <v>921.91476910774736</v>
      </c>
    </row>
    <row r="2871" spans="1:6" x14ac:dyDescent="0.3">
      <c r="A2871">
        <v>0.05</v>
      </c>
      <c r="B2871" t="s">
        <v>98</v>
      </c>
      <c r="C2871">
        <v>-0.02</v>
      </c>
      <c r="D2871">
        <v>-2.0002667306849624E-2</v>
      </c>
      <c r="E2871">
        <v>5.0088877664511762E-2</v>
      </c>
      <c r="F2871">
        <v>1122.1352794529284</v>
      </c>
    </row>
    <row r="2872" spans="1:6" x14ac:dyDescent="0.3">
      <c r="A2872">
        <v>0.05</v>
      </c>
      <c r="B2872" t="s">
        <v>98</v>
      </c>
      <c r="C2872">
        <v>-0.01</v>
      </c>
      <c r="D2872">
        <v>-1.0000333353334771E-2</v>
      </c>
      <c r="E2872">
        <v>4.541973119746727E-2</v>
      </c>
      <c r="F2872">
        <v>1453.1175659866908</v>
      </c>
    </row>
    <row r="2873" spans="1:6" x14ac:dyDescent="0.3">
      <c r="A2873">
        <v>0.01</v>
      </c>
      <c r="B2873" t="s">
        <v>98</v>
      </c>
      <c r="C2873">
        <v>-0.99</v>
      </c>
      <c r="D2873">
        <v>-2.6466524123622457</v>
      </c>
      <c r="E2873">
        <v>0.12432294585898297</v>
      </c>
      <c r="F2873">
        <v>20.270988906740413</v>
      </c>
    </row>
    <row r="2874" spans="1:6" x14ac:dyDescent="0.3">
      <c r="A2874">
        <v>0.01</v>
      </c>
      <c r="B2874" t="s">
        <v>98</v>
      </c>
      <c r="C2874">
        <v>-0.98</v>
      </c>
      <c r="D2874">
        <v>-2.2975599250672945</v>
      </c>
      <c r="E2874">
        <v>0.12395459163150986</v>
      </c>
      <c r="F2874">
        <v>22.826123809432584</v>
      </c>
    </row>
    <row r="2875" spans="1:6" x14ac:dyDescent="0.3">
      <c r="A2875">
        <v>0.01</v>
      </c>
      <c r="B2875" t="s">
        <v>98</v>
      </c>
      <c r="C2875">
        <v>-0.97</v>
      </c>
      <c r="D2875">
        <v>-2.0922957200349388</v>
      </c>
      <c r="E2875">
        <v>0.1236843400185588</v>
      </c>
      <c r="F2875">
        <v>24.715263213055685</v>
      </c>
    </row>
    <row r="2876" spans="1:6" x14ac:dyDescent="0.3">
      <c r="A2876">
        <v>0.01</v>
      </c>
      <c r="B2876" t="s">
        <v>98</v>
      </c>
      <c r="C2876">
        <v>-0.96</v>
      </c>
      <c r="D2876">
        <v>-1.9459101490553128</v>
      </c>
      <c r="E2876">
        <v>0.12345920391558782</v>
      </c>
      <c r="F2876">
        <v>26.298569819907183</v>
      </c>
    </row>
    <row r="2877" spans="1:6" x14ac:dyDescent="0.3">
      <c r="A2877">
        <v>0.01</v>
      </c>
      <c r="B2877" t="s">
        <v>98</v>
      </c>
      <c r="C2877">
        <v>-0.95</v>
      </c>
      <c r="D2877">
        <v>-1.8317808230648227</v>
      </c>
      <c r="E2877">
        <v>0.12326053973618345</v>
      </c>
      <c r="F2877">
        <v>27.702902411277016</v>
      </c>
    </row>
    <row r="2878" spans="1:6" x14ac:dyDescent="0.3">
      <c r="A2878">
        <v>0.01</v>
      </c>
      <c r="B2878" t="s">
        <v>98</v>
      </c>
      <c r="C2878">
        <v>-0.94</v>
      </c>
      <c r="D2878">
        <v>-1.7380493449176362</v>
      </c>
      <c r="E2878">
        <v>0.12307936128025786</v>
      </c>
      <c r="F2878">
        <v>28.989519885456783</v>
      </c>
    </row>
    <row r="2879" spans="1:6" x14ac:dyDescent="0.3">
      <c r="A2879">
        <v>0.01</v>
      </c>
      <c r="B2879" t="s">
        <v>98</v>
      </c>
      <c r="C2879">
        <v>-0.93</v>
      </c>
      <c r="D2879">
        <v>-1.6583900199247865</v>
      </c>
      <c r="E2879">
        <v>0.12291057704289261</v>
      </c>
      <c r="F2879">
        <v>30.193265812282224</v>
      </c>
    </row>
    <row r="2880" spans="1:6" x14ac:dyDescent="0.3">
      <c r="A2880">
        <v>0.01</v>
      </c>
      <c r="B2880" t="s">
        <v>98</v>
      </c>
      <c r="C2880">
        <v>-0.92</v>
      </c>
      <c r="D2880">
        <v>-1.5890269151739731</v>
      </c>
      <c r="E2880">
        <v>0.12275097071643892</v>
      </c>
      <c r="F2880">
        <v>31.336116987623782</v>
      </c>
    </row>
    <row r="2881" spans="1:6" x14ac:dyDescent="0.3">
      <c r="A2881">
        <v>0.01</v>
      </c>
      <c r="B2881" t="s">
        <v>98</v>
      </c>
      <c r="C2881">
        <v>-0.91</v>
      </c>
      <c r="D2881">
        <v>-1.5275244253552054</v>
      </c>
      <c r="E2881">
        <v>0.12259837571484591</v>
      </c>
      <c r="F2881">
        <v>32.432965559035701</v>
      </c>
    </row>
    <row r="2882" spans="1:6" x14ac:dyDescent="0.3">
      <c r="A2882">
        <v>0.01</v>
      </c>
      <c r="B2882" t="s">
        <v>98</v>
      </c>
      <c r="C2882">
        <v>-0.9</v>
      </c>
      <c r="D2882">
        <v>-1.4722194895832204</v>
      </c>
      <c r="E2882">
        <v>0.12245122971785098</v>
      </c>
      <c r="F2882">
        <v>33.494465806802872</v>
      </c>
    </row>
    <row r="2883" spans="1:6" x14ac:dyDescent="0.3">
      <c r="A2883">
        <v>0.01</v>
      </c>
      <c r="B2883" t="s">
        <v>98</v>
      </c>
      <c r="C2883">
        <v>-0.89</v>
      </c>
      <c r="D2883">
        <v>-1.421925871130636</v>
      </c>
      <c r="E2883">
        <v>0.12230840360981733</v>
      </c>
      <c r="F2883">
        <v>34.528555527968223</v>
      </c>
    </row>
    <row r="2884" spans="1:6" x14ac:dyDescent="0.3">
      <c r="A2884">
        <v>0.01</v>
      </c>
      <c r="B2884" t="s">
        <v>98</v>
      </c>
      <c r="C2884">
        <v>-0.88</v>
      </c>
      <c r="D2884">
        <v>-1.3757676565209744</v>
      </c>
      <c r="E2884">
        <v>0.12216899280351995</v>
      </c>
      <c r="F2884">
        <v>35.541371728585801</v>
      </c>
    </row>
    <row r="2885" spans="1:6" x14ac:dyDescent="0.3">
      <c r="A2885">
        <v>0.01</v>
      </c>
      <c r="B2885" t="s">
        <v>98</v>
      </c>
      <c r="C2885">
        <v>-0.87</v>
      </c>
      <c r="D2885">
        <v>-1.333079629696525</v>
      </c>
      <c r="E2885">
        <v>0.12203230353748248</v>
      </c>
      <c r="F2885">
        <v>36.537783722717904</v>
      </c>
    </row>
    <row r="2886" spans="1:6" x14ac:dyDescent="0.3">
      <c r="A2886">
        <v>0.01</v>
      </c>
      <c r="B2886" t="s">
        <v>98</v>
      </c>
      <c r="C2886">
        <v>-0.86</v>
      </c>
      <c r="D2886">
        <v>-1.2933446720489712</v>
      </c>
      <c r="E2886">
        <v>0.1218977700401485</v>
      </c>
      <c r="F2886">
        <v>37.521758009129229</v>
      </c>
    </row>
    <row r="2887" spans="1:6" x14ac:dyDescent="0.3">
      <c r="A2887">
        <v>0.01</v>
      </c>
      <c r="B2887" t="s">
        <v>98</v>
      </c>
      <c r="C2887">
        <v>-0.85</v>
      </c>
      <c r="D2887">
        <v>-1.2561528119880574</v>
      </c>
      <c r="E2887">
        <v>0.12176492959668163</v>
      </c>
      <c r="F2887">
        <v>38.496594532925599</v>
      </c>
    </row>
    <row r="2888" spans="1:6" x14ac:dyDescent="0.3">
      <c r="A2888">
        <v>0.01</v>
      </c>
      <c r="B2888" t="s">
        <v>98</v>
      </c>
      <c r="C2888">
        <v>-0.84</v>
      </c>
      <c r="D2888">
        <v>-1.2211735176846021</v>
      </c>
      <c r="E2888">
        <v>0.12163336999483336</v>
      </c>
      <c r="F2888">
        <v>39.465101853431165</v>
      </c>
    </row>
    <row r="2889" spans="1:6" x14ac:dyDescent="0.3">
      <c r="A2889">
        <v>0.01</v>
      </c>
      <c r="B2889" t="s">
        <v>98</v>
      </c>
      <c r="C2889">
        <v>-0.83</v>
      </c>
      <c r="D2889">
        <v>-1.1881364043926024</v>
      </c>
      <c r="E2889">
        <v>0.12150277791911115</v>
      </c>
      <c r="F2889">
        <v>40.429694014950236</v>
      </c>
    </row>
    <row r="2890" spans="1:6" x14ac:dyDescent="0.3">
      <c r="A2890">
        <v>0.01</v>
      </c>
      <c r="B2890" t="s">
        <v>98</v>
      </c>
      <c r="C2890">
        <v>-0.82</v>
      </c>
      <c r="D2890">
        <v>-1.1568174645903151</v>
      </c>
      <c r="E2890">
        <v>0.12137284038031103</v>
      </c>
      <c r="F2890">
        <v>41.39250535625871</v>
      </c>
    </row>
    <row r="2891" spans="1:6" x14ac:dyDescent="0.3">
      <c r="A2891">
        <v>0.01</v>
      </c>
      <c r="B2891" t="s">
        <v>98</v>
      </c>
      <c r="C2891">
        <v>-0.81</v>
      </c>
      <c r="D2891">
        <v>-1.1270290260496929</v>
      </c>
      <c r="E2891">
        <v>0.12124329608936432</v>
      </c>
      <c r="F2891">
        <v>42.355435113380736</v>
      </c>
    </row>
    <row r="2892" spans="1:6" x14ac:dyDescent="0.3">
      <c r="A2892">
        <v>0.01</v>
      </c>
      <c r="B2892" t="s">
        <v>98</v>
      </c>
      <c r="C2892">
        <v>-0.8</v>
      </c>
      <c r="D2892">
        <v>-1.0986122886681098</v>
      </c>
      <c r="E2892">
        <v>0.12111392950330964</v>
      </c>
      <c r="F2892">
        <v>43.3201953672489</v>
      </c>
    </row>
    <row r="2893" spans="1:6" x14ac:dyDescent="0.3">
      <c r="A2893">
        <v>0.01</v>
      </c>
      <c r="B2893" t="s">
        <v>98</v>
      </c>
      <c r="C2893">
        <v>-0.79</v>
      </c>
      <c r="D2893">
        <v>-1.0714316840586662</v>
      </c>
      <c r="E2893">
        <v>0.12098450892987021</v>
      </c>
      <c r="F2893">
        <v>44.288369762987315</v>
      </c>
    </row>
    <row r="2894" spans="1:6" x14ac:dyDescent="0.3">
      <c r="A2894">
        <v>0.01</v>
      </c>
      <c r="B2894" t="s">
        <v>98</v>
      </c>
      <c r="C2894">
        <v>-0.78</v>
      </c>
      <c r="D2894">
        <v>-1.0453705484668847</v>
      </c>
      <c r="E2894">
        <v>0.12085486218753191</v>
      </c>
      <c r="F2894">
        <v>45.261414212944594</v>
      </c>
    </row>
    <row r="2895" spans="1:6" x14ac:dyDescent="0.3">
      <c r="A2895">
        <v>0.01</v>
      </c>
      <c r="B2895" t="s">
        <v>98</v>
      </c>
      <c r="C2895">
        <v>-0.77</v>
      </c>
      <c r="D2895">
        <v>-1.0203277583223398</v>
      </c>
      <c r="E2895">
        <v>0.12072480445953043</v>
      </c>
      <c r="F2895">
        <v>46.240706465769023</v>
      </c>
    </row>
    <row r="2896" spans="1:6" x14ac:dyDescent="0.3">
      <c r="A2896">
        <v>0.01</v>
      </c>
      <c r="B2896" t="s">
        <v>98</v>
      </c>
      <c r="C2896">
        <v>-0.76</v>
      </c>
      <c r="D2896">
        <v>-0.99621508234510314</v>
      </c>
      <c r="E2896">
        <v>0.12059417716131819</v>
      </c>
      <c r="F2896">
        <v>47.227550009710292</v>
      </c>
    </row>
    <row r="2897" spans="1:6" x14ac:dyDescent="0.3">
      <c r="A2897">
        <v>0.01</v>
      </c>
      <c r="B2897" t="s">
        <v>98</v>
      </c>
      <c r="C2897">
        <v>-0.75</v>
      </c>
      <c r="D2897">
        <v>-0.97295507452765673</v>
      </c>
      <c r="E2897">
        <v>0.12046279627581172</v>
      </c>
      <c r="F2897">
        <v>48.223210285214208</v>
      </c>
    </row>
    <row r="2898" spans="1:6" x14ac:dyDescent="0.3">
      <c r="A2898">
        <v>0.01</v>
      </c>
      <c r="B2898" t="s">
        <v>98</v>
      </c>
      <c r="C2898">
        <v>-0.74</v>
      </c>
      <c r="D2898">
        <v>-0.95047938059652348</v>
      </c>
      <c r="E2898">
        <v>0.12033054135076132</v>
      </c>
      <c r="F2898">
        <v>49.228891155637015</v>
      </c>
    </row>
    <row r="2899" spans="1:6" x14ac:dyDescent="0.3">
      <c r="A2899">
        <v>0.01</v>
      </c>
      <c r="B2899" t="s">
        <v>98</v>
      </c>
      <c r="C2899">
        <v>-0.73</v>
      </c>
      <c r="D2899">
        <v>-0.92872736424672497</v>
      </c>
      <c r="E2899">
        <v>0.12019723775365815</v>
      </c>
      <c r="F2899">
        <v>50.245794709718908</v>
      </c>
    </row>
    <row r="2900" spans="1:6" x14ac:dyDescent="0.3">
      <c r="A2900">
        <v>0.01</v>
      </c>
      <c r="B2900" t="s">
        <v>98</v>
      </c>
      <c r="C2900">
        <v>-0.72</v>
      </c>
      <c r="D2900">
        <v>-0.90764498331912458</v>
      </c>
      <c r="E2900">
        <v>0.12006276985922741</v>
      </c>
      <c r="F2900">
        <v>51.27508309746031</v>
      </c>
    </row>
    <row r="2901" spans="1:6" x14ac:dyDescent="0.3">
      <c r="A2901">
        <v>0.01</v>
      </c>
      <c r="B2901" t="s">
        <v>98</v>
      </c>
      <c r="C2901">
        <v>-0.71</v>
      </c>
      <c r="D2901">
        <v>-0.88718386325809284</v>
      </c>
      <c r="E2901">
        <v>0.11992697736901074</v>
      </c>
      <c r="F2901">
        <v>52.317931737911778</v>
      </c>
    </row>
    <row r="2902" spans="1:6" x14ac:dyDescent="0.3">
      <c r="A2902">
        <v>0.01</v>
      </c>
      <c r="B2902" t="s">
        <v>98</v>
      </c>
      <c r="C2902">
        <v>-0.7</v>
      </c>
      <c r="D2902">
        <v>-0.86730052769405308</v>
      </c>
      <c r="E2902">
        <v>0.11978975809053677</v>
      </c>
      <c r="F2902">
        <v>53.37549122851069</v>
      </c>
    </row>
    <row r="2903" spans="1:6" x14ac:dyDescent="0.3">
      <c r="A2903">
        <v>0.01</v>
      </c>
      <c r="B2903" t="s">
        <v>98</v>
      </c>
      <c r="C2903">
        <v>-0.69</v>
      </c>
      <c r="D2903">
        <v>-0.84795575521896349</v>
      </c>
      <c r="E2903">
        <v>0.11965094723637751</v>
      </c>
      <c r="F2903">
        <v>54.448949225835882</v>
      </c>
    </row>
    <row r="2904" spans="1:6" x14ac:dyDescent="0.3">
      <c r="A2904">
        <v>0.01</v>
      </c>
      <c r="B2904" t="s">
        <v>98</v>
      </c>
      <c r="C2904">
        <v>-0.68</v>
      </c>
      <c r="D2904">
        <v>-0.82911403830176633</v>
      </c>
      <c r="E2904">
        <v>0.11951041480723246</v>
      </c>
      <c r="F2904">
        <v>55.539492633429248</v>
      </c>
    </row>
    <row r="2905" spans="1:6" x14ac:dyDescent="0.3">
      <c r="A2905">
        <v>0.01</v>
      </c>
      <c r="B2905" t="s">
        <v>98</v>
      </c>
      <c r="C2905">
        <v>-0.67</v>
      </c>
      <c r="D2905">
        <v>-0.81074312547513749</v>
      </c>
      <c r="E2905">
        <v>0.11936804223980363</v>
      </c>
      <c r="F2905">
        <v>56.648323658322852</v>
      </c>
    </row>
    <row r="2906" spans="1:6" x14ac:dyDescent="0.3">
      <c r="A2906">
        <v>0.01</v>
      </c>
      <c r="B2906" t="s">
        <v>98</v>
      </c>
      <c r="C2906">
        <v>-0.66</v>
      </c>
      <c r="D2906">
        <v>-0.79281363187019105</v>
      </c>
      <c r="E2906">
        <v>0.11922366964269489</v>
      </c>
      <c r="F2906">
        <v>57.776692127536542</v>
      </c>
    </row>
    <row r="2907" spans="1:6" x14ac:dyDescent="0.3">
      <c r="A2907">
        <v>0.01</v>
      </c>
      <c r="B2907" t="s">
        <v>98</v>
      </c>
      <c r="C2907">
        <v>-0.65</v>
      </c>
      <c r="D2907">
        <v>-0.7752987062055835</v>
      </c>
      <c r="E2907">
        <v>0.11907718388129671</v>
      </c>
      <c r="F2907">
        <v>58.925857530258071</v>
      </c>
    </row>
    <row r="2908" spans="1:6" x14ac:dyDescent="0.3">
      <c r="A2908">
        <v>0.01</v>
      </c>
      <c r="B2908" t="s">
        <v>98</v>
      </c>
      <c r="C2908">
        <v>-0.64</v>
      </c>
      <c r="D2908">
        <v>-0.7581737446840443</v>
      </c>
      <c r="E2908">
        <v>0.11892843363877298</v>
      </c>
      <c r="F2908">
        <v>60.097137534396197</v>
      </c>
    </row>
    <row r="2909" spans="1:6" x14ac:dyDescent="0.3">
      <c r="A2909">
        <v>0.01</v>
      </c>
      <c r="B2909" t="s">
        <v>98</v>
      </c>
      <c r="C2909">
        <v>-0.63</v>
      </c>
      <c r="D2909">
        <v>-0.74141614408126888</v>
      </c>
      <c r="E2909">
        <v>0.11877726954928934</v>
      </c>
      <c r="F2909">
        <v>61.291894029566606</v>
      </c>
    </row>
    <row r="2910" spans="1:6" x14ac:dyDescent="0.3">
      <c r="A2910">
        <v>0.01</v>
      </c>
      <c r="B2910" t="s">
        <v>98</v>
      </c>
      <c r="C2910">
        <v>-0.62</v>
      </c>
      <c r="D2910">
        <v>-0.72500508775299921</v>
      </c>
      <c r="E2910">
        <v>0.11862355137461797</v>
      </c>
      <c r="F2910">
        <v>62.51153490019626</v>
      </c>
    </row>
    <row r="2911" spans="1:6" x14ac:dyDescent="0.3">
      <c r="A2911">
        <v>0.01</v>
      </c>
      <c r="B2911" t="s">
        <v>98</v>
      </c>
      <c r="C2911">
        <v>-0.61</v>
      </c>
      <c r="D2911">
        <v>-0.7089213594274083</v>
      </c>
      <c r="E2911">
        <v>0.11846712599255058</v>
      </c>
      <c r="F2911">
        <v>63.757532094665727</v>
      </c>
    </row>
    <row r="2912" spans="1:6" x14ac:dyDescent="0.3">
      <c r="A2912">
        <v>0.01</v>
      </c>
      <c r="B2912" t="s">
        <v>98</v>
      </c>
      <c r="C2912">
        <v>-0.6</v>
      </c>
      <c r="D2912">
        <v>-0.69314718055994529</v>
      </c>
      <c r="E2912">
        <v>0.11830783528824552</v>
      </c>
      <c r="F2912">
        <v>65.03142410207326</v>
      </c>
    </row>
    <row r="2913" spans="1:6" x14ac:dyDescent="0.3">
      <c r="A2913">
        <v>0.01</v>
      </c>
      <c r="B2913" t="s">
        <v>98</v>
      </c>
      <c r="C2913">
        <v>-0.59</v>
      </c>
      <c r="D2913">
        <v>-0.67766606775796179</v>
      </c>
      <c r="E2913">
        <v>0.11814552329673043</v>
      </c>
      <c r="F2913">
        <v>66.33481861144945</v>
      </c>
    </row>
    <row r="2914" spans="1:6" x14ac:dyDescent="0.3">
      <c r="A2914">
        <v>0.01</v>
      </c>
      <c r="B2914" t="s">
        <v>98</v>
      </c>
      <c r="C2914">
        <v>-0.57999999999999996</v>
      </c>
      <c r="D2914">
        <v>-0.66246270737179924</v>
      </c>
      <c r="E2914">
        <v>0.11798001580485221</v>
      </c>
      <c r="F2914">
        <v>67.669411804571098</v>
      </c>
    </row>
    <row r="2915" spans="1:6" x14ac:dyDescent="0.3">
      <c r="A2915">
        <v>0.01</v>
      </c>
      <c r="B2915" t="s">
        <v>98</v>
      </c>
      <c r="C2915">
        <v>-0.56999999999999995</v>
      </c>
      <c r="D2915">
        <v>-0.64752284482737277</v>
      </c>
      <c r="E2915">
        <v>0.11781112855679958</v>
      </c>
      <c r="F2915">
        <v>69.036991900031396</v>
      </c>
    </row>
    <row r="2916" spans="1:6" x14ac:dyDescent="0.3">
      <c r="A2916">
        <v>0.01</v>
      </c>
      <c r="B2916" t="s">
        <v>98</v>
      </c>
      <c r="C2916">
        <v>-0.56000000000000005</v>
      </c>
      <c r="D2916">
        <v>-0.63283318666563804</v>
      </c>
      <c r="E2916">
        <v>0.11763870092418495</v>
      </c>
      <c r="F2916">
        <v>70.439426343293974</v>
      </c>
    </row>
    <row r="2917" spans="1:6" x14ac:dyDescent="0.3">
      <c r="A2917">
        <v>0.01</v>
      </c>
      <c r="B2917" t="s">
        <v>98</v>
      </c>
      <c r="C2917">
        <v>-0.55000000000000004</v>
      </c>
      <c r="D2917">
        <v>-0.61838131357446346</v>
      </c>
      <c r="E2917">
        <v>0.11746251132901721</v>
      </c>
      <c r="F2917">
        <v>71.878723967934235</v>
      </c>
    </row>
    <row r="2918" spans="1:6" x14ac:dyDescent="0.3">
      <c r="A2918">
        <v>0.01</v>
      </c>
      <c r="B2918" t="s">
        <v>98</v>
      </c>
      <c r="C2918">
        <v>-0.54</v>
      </c>
      <c r="D2918">
        <v>-0.60415560296226711</v>
      </c>
      <c r="E2918">
        <v>0.11728239005118257</v>
      </c>
      <c r="F2918">
        <v>73.356973374089222</v>
      </c>
    </row>
    <row r="2919" spans="1:6" x14ac:dyDescent="0.3">
      <c r="A2919">
        <v>0.01</v>
      </c>
      <c r="B2919" t="s">
        <v>98</v>
      </c>
      <c r="C2919">
        <v>-0.53</v>
      </c>
      <c r="D2919">
        <v>-0.59014515984118854</v>
      </c>
      <c r="E2919">
        <v>0.1170980986245336</v>
      </c>
      <c r="F2919">
        <v>74.876431658834662</v>
      </c>
    </row>
    <row r="2920" spans="1:6" x14ac:dyDescent="0.3">
      <c r="A2920">
        <v>0.01</v>
      </c>
      <c r="B2920" t="s">
        <v>98</v>
      </c>
      <c r="C2920">
        <v>-0.52</v>
      </c>
      <c r="D2920">
        <v>-0.57633975496919276</v>
      </c>
      <c r="E2920">
        <v>0.11690942833892451</v>
      </c>
      <c r="F2920">
        <v>76.439471862062035</v>
      </c>
    </row>
    <row r="2921" spans="1:6" x14ac:dyDescent="0.3">
      <c r="A2921">
        <v>0.01</v>
      </c>
      <c r="B2921" t="s">
        <v>98</v>
      </c>
      <c r="C2921">
        <v>-0.51</v>
      </c>
      <c r="D2921">
        <v>-0.56272976935214891</v>
      </c>
      <c r="E2921">
        <v>0.1167161340669414</v>
      </c>
      <c r="F2921">
        <v>78.04864018520523</v>
      </c>
    </row>
    <row r="2922" spans="1:6" x14ac:dyDescent="0.3">
      <c r="A2922">
        <v>0.01</v>
      </c>
      <c r="B2922" t="s">
        <v>98</v>
      </c>
      <c r="C2922">
        <v>-0.5</v>
      </c>
      <c r="D2922">
        <v>-0.54930614433405489</v>
      </c>
      <c r="E2922">
        <v>0.11651798100958481</v>
      </c>
      <c r="F2922">
        <v>79.706638054429874</v>
      </c>
    </row>
    <row r="2923" spans="1:6" x14ac:dyDescent="0.3">
      <c r="A2923">
        <v>0.01</v>
      </c>
      <c r="B2923" t="s">
        <v>98</v>
      </c>
      <c r="C2923">
        <v>-0.49</v>
      </c>
      <c r="D2923">
        <v>-0.53606033661056662</v>
      </c>
      <c r="E2923">
        <v>0.11631469490970009</v>
      </c>
      <c r="F2923">
        <v>81.416373392741022</v>
      </c>
    </row>
    <row r="2924" spans="1:6" x14ac:dyDescent="0.3">
      <c r="A2924">
        <v>0.01</v>
      </c>
      <c r="B2924" t="s">
        <v>98</v>
      </c>
      <c r="C2924">
        <v>-0.48</v>
      </c>
      <c r="D2924">
        <v>-0.5229842775913438</v>
      </c>
      <c r="E2924">
        <v>0.11610600888081922</v>
      </c>
      <c r="F2924">
        <v>83.180944371035039</v>
      </c>
    </row>
    <row r="2925" spans="1:6" x14ac:dyDescent="0.3">
      <c r="A2925">
        <v>0.01</v>
      </c>
      <c r="B2925" t="s">
        <v>98</v>
      </c>
      <c r="C2925">
        <v>-0.47</v>
      </c>
      <c r="D2925">
        <v>-0.51007033661330725</v>
      </c>
      <c r="E2925">
        <v>0.11589160572613715</v>
      </c>
      <c r="F2925">
        <v>85.003702358611861</v>
      </c>
    </row>
    <row r="2926" spans="1:6" x14ac:dyDescent="0.3">
      <c r="A2926">
        <v>0.01</v>
      </c>
      <c r="B2926" t="s">
        <v>98</v>
      </c>
      <c r="C2926">
        <v>-0.46</v>
      </c>
      <c r="D2926">
        <v>-0.49731128757203097</v>
      </c>
      <c r="E2926">
        <v>0.11567118779965171</v>
      </c>
      <c r="F2926">
        <v>86.888220396438825</v>
      </c>
    </row>
    <row r="2927" spans="1:6" x14ac:dyDescent="0.3">
      <c r="A2927">
        <v>0.01</v>
      </c>
      <c r="B2927" t="s">
        <v>98</v>
      </c>
      <c r="C2927">
        <v>-0.45</v>
      </c>
      <c r="D2927">
        <v>-0.48470027859405168</v>
      </c>
      <c r="E2927">
        <v>0.115444411155777</v>
      </c>
      <c r="F2927">
        <v>88.838368397269392</v>
      </c>
    </row>
    <row r="2928" spans="1:6" x14ac:dyDescent="0.3">
      <c r="A2928">
        <v>0.01</v>
      </c>
      <c r="B2928" t="s">
        <v>98</v>
      </c>
      <c r="C2928">
        <v>-0.44</v>
      </c>
      <c r="D2928">
        <v>-0.47223080442042559</v>
      </c>
      <c r="E2928">
        <v>0.11521091227205424</v>
      </c>
      <c r="F2928">
        <v>90.858320313200906</v>
      </c>
    </row>
    <row r="2929" spans="1:6" x14ac:dyDescent="0.3">
      <c r="A2929">
        <v>0.01</v>
      </c>
      <c r="B2929" t="s">
        <v>98</v>
      </c>
      <c r="C2929">
        <v>-0.43</v>
      </c>
      <c r="D2929">
        <v>-0.45989668121267852</v>
      </c>
      <c r="E2929">
        <v>0.11497032285715938</v>
      </c>
      <c r="F2929">
        <v>92.952571609344091</v>
      </c>
    </row>
    <row r="2930" spans="1:6" x14ac:dyDescent="0.3">
      <c r="A2930">
        <v>0.01</v>
      </c>
      <c r="B2930" t="s">
        <v>98</v>
      </c>
      <c r="C2930">
        <v>-0.42</v>
      </c>
      <c r="D2930">
        <v>-0.4476920235274206</v>
      </c>
      <c r="E2930">
        <v>0.11472221257815957</v>
      </c>
      <c r="F2930">
        <v>95.126022881580184</v>
      </c>
    </row>
    <row r="2931" spans="1:6" x14ac:dyDescent="0.3">
      <c r="A2931">
        <v>0.01</v>
      </c>
      <c r="B2931" t="s">
        <v>98</v>
      </c>
      <c r="C2931">
        <v>-0.41</v>
      </c>
      <c r="D2931">
        <v>-0.43561122323622431</v>
      </c>
      <c r="E2931">
        <v>0.1144661599854314</v>
      </c>
      <c r="F2931">
        <v>97.383957668865634</v>
      </c>
    </row>
    <row r="2932" spans="1:6" x14ac:dyDescent="0.3">
      <c r="A2932">
        <v>0.01</v>
      </c>
      <c r="B2932" t="s">
        <v>98</v>
      </c>
      <c r="C2932">
        <v>-0.4</v>
      </c>
      <c r="D2932">
        <v>-0.42364893019360178</v>
      </c>
      <c r="E2932">
        <v>0.11420168408346067</v>
      </c>
      <c r="F2932">
        <v>99.732146702363394</v>
      </c>
    </row>
    <row r="2933" spans="1:6" x14ac:dyDescent="0.3">
      <c r="A2933">
        <v>0.01</v>
      </c>
      <c r="B2933" t="s">
        <v>98</v>
      </c>
      <c r="C2933">
        <v>-0.39</v>
      </c>
      <c r="D2933">
        <v>-0.41180003447869035</v>
      </c>
      <c r="E2933">
        <v>0.11392825757777104</v>
      </c>
      <c r="F2933">
        <v>102.17688857983228</v>
      </c>
    </row>
    <row r="2934" spans="1:6" x14ac:dyDescent="0.3">
      <c r="A2934">
        <v>0.01</v>
      </c>
      <c r="B2934" t="s">
        <v>98</v>
      </c>
      <c r="C2934">
        <v>-0.38</v>
      </c>
      <c r="D2934">
        <v>-0.40005965005605654</v>
      </c>
      <c r="E2934">
        <v>0.11364536849844703</v>
      </c>
      <c r="F2934">
        <v>104.72500687704751</v>
      </c>
    </row>
    <row r="2935" spans="1:6" x14ac:dyDescent="0.3">
      <c r="A2935">
        <v>0.01</v>
      </c>
      <c r="B2935" t="s">
        <v>98</v>
      </c>
      <c r="C2935">
        <v>-0.37</v>
      </c>
      <c r="D2935">
        <v>-0.38842309971829614</v>
      </c>
      <c r="E2935">
        <v>0.11335238049590209</v>
      </c>
      <c r="F2935">
        <v>107.38405156808443</v>
      </c>
    </row>
    <row r="2936" spans="1:6" x14ac:dyDescent="0.3">
      <c r="A2936">
        <v>0.01</v>
      </c>
      <c r="B2936" t="s">
        <v>98</v>
      </c>
      <c r="C2936">
        <v>-0.36</v>
      </c>
      <c r="D2936">
        <v>-0.37688590118819004</v>
      </c>
      <c r="E2936">
        <v>0.11304870023092016</v>
      </c>
      <c r="F2936">
        <v>110.16220842409736</v>
      </c>
    </row>
    <row r="2937" spans="1:6" x14ac:dyDescent="0.3">
      <c r="A2937">
        <v>0.01</v>
      </c>
      <c r="B2937" t="s">
        <v>98</v>
      </c>
      <c r="C2937">
        <v>-0.35</v>
      </c>
      <c r="D2937">
        <v>-0.36544375427139619</v>
      </c>
      <c r="E2937">
        <v>0.11273358176761478</v>
      </c>
      <c r="F2937">
        <v>113.06858483573068</v>
      </c>
    </row>
    <row r="2938" spans="1:6" x14ac:dyDescent="0.3">
      <c r="A2938">
        <v>0.01</v>
      </c>
      <c r="B2938" t="s">
        <v>98</v>
      </c>
      <c r="C2938">
        <v>-0.34</v>
      </c>
      <c r="D2938">
        <v>-0.35409252896224297</v>
      </c>
      <c r="E2938">
        <v>0.11240629181891895</v>
      </c>
      <c r="F2938">
        <v>116.11313938336774</v>
      </c>
    </row>
    <row r="2939" spans="1:6" x14ac:dyDescent="0.3">
      <c r="A2939">
        <v>0.01</v>
      </c>
      <c r="B2939" t="s">
        <v>98</v>
      </c>
      <c r="C2939">
        <v>-0.33</v>
      </c>
      <c r="D2939">
        <v>-0.34282825441539394</v>
      </c>
      <c r="E2939">
        <v>0.11206601690998623</v>
      </c>
      <c r="F2939">
        <v>119.30689312821127</v>
      </c>
    </row>
    <row r="2940" spans="1:6" x14ac:dyDescent="0.3">
      <c r="A2940">
        <v>0.01</v>
      </c>
      <c r="B2940" t="s">
        <v>98</v>
      </c>
      <c r="C2940">
        <v>-0.32</v>
      </c>
      <c r="D2940">
        <v>-0.3316471087051322</v>
      </c>
      <c r="E2940">
        <v>0.11171185247787949</v>
      </c>
      <c r="F2940">
        <v>122.66207924193723</v>
      </c>
    </row>
    <row r="2941" spans="1:6" x14ac:dyDescent="0.3">
      <c r="A2941">
        <v>0.01</v>
      </c>
      <c r="B2941" t="s">
        <v>98</v>
      </c>
      <c r="C2941">
        <v>-0.31</v>
      </c>
      <c r="D2941">
        <v>-0.32054540930194608</v>
      </c>
      <c r="E2941">
        <v>0.11134279746796068</v>
      </c>
      <c r="F2941">
        <v>126.19230989823434</v>
      </c>
    </row>
    <row r="2942" spans="1:6" x14ac:dyDescent="0.3">
      <c r="A2942">
        <v>0.01</v>
      </c>
      <c r="B2942" t="s">
        <v>98</v>
      </c>
      <c r="C2942">
        <v>-0.3</v>
      </c>
      <c r="D2942">
        <v>-0.30951960420311175</v>
      </c>
      <c r="E2942">
        <v>0.11095780353374288</v>
      </c>
      <c r="F2942">
        <v>129.91270048945245</v>
      </c>
    </row>
    <row r="2943" spans="1:6" x14ac:dyDescent="0.3">
      <c r="A2943">
        <v>0.01</v>
      </c>
      <c r="B2943" t="s">
        <v>98</v>
      </c>
      <c r="C2943">
        <v>-0.28999999999999998</v>
      </c>
      <c r="D2943">
        <v>-0.29856626366017835</v>
      </c>
      <c r="E2943">
        <v>0.11055567915223129</v>
      </c>
      <c r="F2943">
        <v>133.84020423811864</v>
      </c>
    </row>
    <row r="2944" spans="1:6" x14ac:dyDescent="0.3">
      <c r="A2944">
        <v>0.01</v>
      </c>
      <c r="B2944" t="s">
        <v>98</v>
      </c>
      <c r="C2944">
        <v>-0.28000000000000003</v>
      </c>
      <c r="D2944">
        <v>-0.2876820724517809</v>
      </c>
      <c r="E2944">
        <v>0.11013513676693092</v>
      </c>
      <c r="F2944">
        <v>137.99381317385539</v>
      </c>
    </row>
    <row r="2945" spans="1:6" x14ac:dyDescent="0.3">
      <c r="A2945">
        <v>0.01</v>
      </c>
      <c r="B2945" t="s">
        <v>98</v>
      </c>
      <c r="C2945">
        <v>-0.27</v>
      </c>
      <c r="D2945">
        <v>-0.27686382265510007</v>
      </c>
      <c r="E2945">
        <v>0.1096947025078735</v>
      </c>
      <c r="F2945">
        <v>142.39498788864967</v>
      </c>
    </row>
    <row r="2946" spans="1:6" x14ac:dyDescent="0.3">
      <c r="A2946">
        <v>0.01</v>
      </c>
      <c r="B2946" t="s">
        <v>98</v>
      </c>
      <c r="C2946">
        <v>-0.26</v>
      </c>
      <c r="D2946">
        <v>-0.26610840687365411</v>
      </c>
      <c r="E2946">
        <v>0.10923282580079854</v>
      </c>
      <c r="F2946">
        <v>147.06787592015709</v>
      </c>
    </row>
    <row r="2947" spans="1:6" x14ac:dyDescent="0.3">
      <c r="A2947">
        <v>0.01</v>
      </c>
      <c r="B2947" t="s">
        <v>98</v>
      </c>
      <c r="C2947">
        <v>-0.25</v>
      </c>
      <c r="D2947">
        <v>-0.25541281188299536</v>
      </c>
      <c r="E2947">
        <v>0.10874771845819073</v>
      </c>
      <c r="F2947">
        <v>152.03998055738197</v>
      </c>
    </row>
    <row r="2948" spans="1:6" x14ac:dyDescent="0.3">
      <c r="A2948">
        <v>0.01</v>
      </c>
      <c r="B2948" t="s">
        <v>98</v>
      </c>
      <c r="C2948">
        <v>-0.24</v>
      </c>
      <c r="D2948">
        <v>-0.24477411265935289</v>
      </c>
      <c r="E2948">
        <v>0.10823742618159916</v>
      </c>
      <c r="F2948">
        <v>157.34260012764025</v>
      </c>
    </row>
    <row r="2949" spans="1:6" x14ac:dyDescent="0.3">
      <c r="A2949">
        <v>0.01</v>
      </c>
      <c r="B2949" t="s">
        <v>98</v>
      </c>
      <c r="C2949">
        <v>-0.23</v>
      </c>
      <c r="D2949">
        <v>-0.23418946675936678</v>
      </c>
      <c r="E2949">
        <v>0.10769973333726048</v>
      </c>
      <c r="F2949">
        <v>163.01163013098414</v>
      </c>
    </row>
    <row r="2950" spans="1:6" x14ac:dyDescent="0.3">
      <c r="A2950">
        <v>0.01</v>
      </c>
      <c r="B2950" t="s">
        <v>98</v>
      </c>
      <c r="C2950">
        <v>-0.22</v>
      </c>
      <c r="D2950">
        <v>-0.22365610902183239</v>
      </c>
      <c r="E2950">
        <v>0.10713219028812498</v>
      </c>
      <c r="F2950">
        <v>169.08832925013186</v>
      </c>
    </row>
    <row r="2951" spans="1:6" x14ac:dyDescent="0.3">
      <c r="A2951">
        <v>0.01</v>
      </c>
      <c r="B2951" t="s">
        <v>98</v>
      </c>
      <c r="C2951">
        <v>-0.21</v>
      </c>
      <c r="D2951">
        <v>-0.21317134656485975</v>
      </c>
      <c r="E2951">
        <v>0.10653199082904605</v>
      </c>
      <c r="F2951">
        <v>175.62052562506616</v>
      </c>
    </row>
    <row r="2952" spans="1:6" x14ac:dyDescent="0.3">
      <c r="A2952">
        <v>0.01</v>
      </c>
      <c r="B2952" t="s">
        <v>98</v>
      </c>
      <c r="C2952">
        <v>-0.2</v>
      </c>
      <c r="D2952">
        <v>-0.20273255405408214</v>
      </c>
      <c r="E2952">
        <v>0.1058960032361539</v>
      </c>
      <c r="F2952">
        <v>182.66381828091991</v>
      </c>
    </row>
    <row r="2953" spans="1:6" x14ac:dyDescent="0.3">
      <c r="A2953">
        <v>0.01</v>
      </c>
      <c r="B2953" t="s">
        <v>98</v>
      </c>
      <c r="C2953">
        <v>-0.19</v>
      </c>
      <c r="D2953">
        <v>-0.1923371692195453</v>
      </c>
      <c r="E2953">
        <v>0.10522065132503873</v>
      </c>
      <c r="F2953">
        <v>190.28336535965809</v>
      </c>
    </row>
    <row r="2954" spans="1:6" x14ac:dyDescent="0.3">
      <c r="A2954">
        <v>0.01</v>
      </c>
      <c r="B2954" t="s">
        <v>98</v>
      </c>
      <c r="C2954">
        <v>-0.18</v>
      </c>
      <c r="D2954">
        <v>-0.18198268860070579</v>
      </c>
      <c r="E2954">
        <v>0.10450183726885627</v>
      </c>
      <c r="F2954">
        <v>198.5560470212971</v>
      </c>
    </row>
    <row r="2955" spans="1:6" x14ac:dyDescent="0.3">
      <c r="A2955">
        <v>0.01</v>
      </c>
      <c r="B2955" t="s">
        <v>98</v>
      </c>
      <c r="C2955">
        <v>-0.17</v>
      </c>
      <c r="D2955">
        <v>-0.17166666350057908</v>
      </c>
      <c r="E2955">
        <v>0.10373486904201984</v>
      </c>
      <c r="F2955">
        <v>207.57319827210509</v>
      </c>
    </row>
    <row r="2956" spans="1:6" x14ac:dyDescent="0.3">
      <c r="A2956">
        <v>0.01</v>
      </c>
      <c r="B2956" t="s">
        <v>98</v>
      </c>
      <c r="C2956">
        <v>-0.16</v>
      </c>
      <c r="D2956">
        <v>-0.16138669613152551</v>
      </c>
      <c r="E2956">
        <v>0.10291433883948989</v>
      </c>
      <c r="F2956">
        <v>217.44422558139664</v>
      </c>
    </row>
    <row r="2957" spans="1:6" x14ac:dyDescent="0.3">
      <c r="A2957">
        <v>0.01</v>
      </c>
      <c r="B2957" t="s">
        <v>98</v>
      </c>
      <c r="C2957">
        <v>-0.15</v>
      </c>
      <c r="D2957">
        <v>-0.15114043593646675</v>
      </c>
      <c r="E2957">
        <v>0.10203393437633737</v>
      </c>
      <c r="F2957">
        <v>228.30146844273628</v>
      </c>
    </row>
    <row r="2958" spans="1:6" x14ac:dyDescent="0.3">
      <c r="A2958">
        <v>0.01</v>
      </c>
      <c r="B2958" t="s">
        <v>98</v>
      </c>
      <c r="C2958">
        <v>-0.14000000000000001</v>
      </c>
      <c r="D2958">
        <v>-0.14092557607049394</v>
      </c>
      <c r="E2958">
        <v>0.10108627446172092</v>
      </c>
      <c r="F2958">
        <v>240.30653338695518</v>
      </c>
    </row>
    <row r="2959" spans="1:6" x14ac:dyDescent="0.3">
      <c r="A2959">
        <v>0.01</v>
      </c>
      <c r="B2959" t="s">
        <v>98</v>
      </c>
      <c r="C2959">
        <v>-0.13</v>
      </c>
      <c r="D2959">
        <v>-0.13073985002887836</v>
      </c>
      <c r="E2959">
        <v>0.10006265744710194</v>
      </c>
      <c r="F2959">
        <v>253.6589903682291</v>
      </c>
    </row>
    <row r="2960" spans="1:6" x14ac:dyDescent="0.3">
      <c r="A2960">
        <v>0.01</v>
      </c>
      <c r="B2960" t="s">
        <v>98</v>
      </c>
      <c r="C2960">
        <v>-0.12</v>
      </c>
      <c r="D2960">
        <v>-0.12058102840844405</v>
      </c>
      <c r="E2960">
        <v>9.8952702399607545E-2</v>
      </c>
      <c r="F2960">
        <v>268.60850017592821</v>
      </c>
    </row>
    <row r="2961" spans="1:6" x14ac:dyDescent="0.3">
      <c r="A2961">
        <v>0.01</v>
      </c>
      <c r="B2961" t="s">
        <v>98</v>
      </c>
      <c r="C2961">
        <v>-0.11</v>
      </c>
      <c r="D2961">
        <v>-0.1104469157900972</v>
      </c>
      <c r="E2961">
        <v>9.7743927067403813E-2</v>
      </c>
      <c r="F2961">
        <v>285.47179178323626</v>
      </c>
    </row>
    <row r="2962" spans="1:6" x14ac:dyDescent="0.3">
      <c r="A2962">
        <v>0.01</v>
      </c>
      <c r="B2962" t="s">
        <v>98</v>
      </c>
      <c r="C2962">
        <v>-0.1</v>
      </c>
      <c r="D2962">
        <v>-0.10033534773107562</v>
      </c>
      <c r="E2962">
        <v>9.6421133864682845E-2</v>
      </c>
      <c r="F2962">
        <v>304.65731127619949</v>
      </c>
    </row>
    <row r="2963" spans="1:6" x14ac:dyDescent="0.3">
      <c r="A2963">
        <v>0.01</v>
      </c>
      <c r="B2963" t="s">
        <v>98</v>
      </c>
      <c r="C2963">
        <v>-0.09</v>
      </c>
      <c r="D2963">
        <v>-9.0244187856146837E-2</v>
      </c>
      <c r="E2963">
        <v>9.4965580011874884E-2</v>
      </c>
      <c r="F2963">
        <v>326.70171450363245</v>
      </c>
    </row>
    <row r="2964" spans="1:6" x14ac:dyDescent="0.3">
      <c r="A2964">
        <v>0.01</v>
      </c>
      <c r="B2964" t="s">
        <v>98</v>
      </c>
      <c r="C2964">
        <v>-0.08</v>
      </c>
      <c r="D2964">
        <v>-8.0171325037589683E-2</v>
      </c>
      <c r="E2964">
        <v>9.3353756180808753E-2</v>
      </c>
      <c r="F2964">
        <v>352.32581730825086</v>
      </c>
    </row>
    <row r="2965" spans="1:6" x14ac:dyDescent="0.3">
      <c r="A2965">
        <v>0.01</v>
      </c>
      <c r="B2965" t="s">
        <v>98</v>
      </c>
      <c r="C2965">
        <v>-7.0000000000000007E-2</v>
      </c>
      <c r="D2965">
        <v>-7.0114670654325195E-2</v>
      </c>
      <c r="E2965">
        <v>9.1555699765117099E-2</v>
      </c>
      <c r="F2965">
        <v>382.5227901326304</v>
      </c>
    </row>
    <row r="2966" spans="1:6" x14ac:dyDescent="0.3">
      <c r="A2966">
        <v>0.01</v>
      </c>
      <c r="B2966" t="s">
        <v>98</v>
      </c>
      <c r="C2966">
        <v>-0.06</v>
      </c>
      <c r="D2966">
        <v>-6.007215592103167E-2</v>
      </c>
      <c r="E2966">
        <v>8.9532207168744479E-2</v>
      </c>
      <c r="F2966">
        <v>418.70491480751633</v>
      </c>
    </row>
    <row r="2967" spans="1:6" x14ac:dyDescent="0.3">
      <c r="A2967">
        <v>0.01</v>
      </c>
      <c r="B2967" t="s">
        <v>98</v>
      </c>
      <c r="C2967">
        <v>-0.05</v>
      </c>
      <c r="D2967">
        <v>-5.0041729278491327E-2</v>
      </c>
      <c r="E2967">
        <v>8.7230714065285E-2</v>
      </c>
      <c r="F2967">
        <v>462.95745856705526</v>
      </c>
    </row>
    <row r="2968" spans="1:6" x14ac:dyDescent="0.3">
      <c r="A2968">
        <v>0.01</v>
      </c>
      <c r="B2968" t="s">
        <v>98</v>
      </c>
      <c r="C2968">
        <v>-0.04</v>
      </c>
      <c r="D2968">
        <v>-4.0021353836768248E-2</v>
      </c>
      <c r="E2968">
        <v>8.4578005380071139E-2</v>
      </c>
      <c r="F2968">
        <v>518.51148058649619</v>
      </c>
    </row>
    <row r="2969" spans="1:6" x14ac:dyDescent="0.3">
      <c r="A2969">
        <v>0.01</v>
      </c>
      <c r="B2969" t="s">
        <v>98</v>
      </c>
      <c r="C2969">
        <v>-0.03</v>
      </c>
      <c r="D2969">
        <v>-3.000900486312652E-2</v>
      </c>
      <c r="E2969">
        <v>8.1467334691182308E-2</v>
      </c>
      <c r="F2969">
        <v>590.69418457543418</v>
      </c>
    </row>
    <row r="2970" spans="1:6" x14ac:dyDescent="0.3">
      <c r="A2970">
        <v>0.01</v>
      </c>
      <c r="B2970" t="s">
        <v>98</v>
      </c>
      <c r="C2970">
        <v>-0.02</v>
      </c>
      <c r="D2970">
        <v>-2.0002667306849624E-2</v>
      </c>
      <c r="E2970">
        <v>7.7732583117466919E-2</v>
      </c>
      <c r="F2970">
        <v>689.0647906572691</v>
      </c>
    </row>
    <row r="2971" spans="1:6" x14ac:dyDescent="0.3">
      <c r="A2971">
        <v>0.01</v>
      </c>
      <c r="B2971" t="s">
        <v>98</v>
      </c>
      <c r="C2971">
        <v>-0.01</v>
      </c>
      <c r="D2971">
        <v>-1.0000333353334771E-2</v>
      </c>
      <c r="E2971">
        <v>7.3089187726543575E-2</v>
      </c>
      <c r="F2971">
        <v>833.01793880788443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CAE7-2EE6-49FD-A83B-758C2B7A4317}">
  <sheetPr codeName="Sheet5"/>
  <dimension ref="A1:T100"/>
  <sheetViews>
    <sheetView tabSelected="1" workbookViewId="0">
      <selection activeCell="R6" sqref="R6"/>
    </sheetView>
  </sheetViews>
  <sheetFormatPr defaultRowHeight="14.4" x14ac:dyDescent="0.3"/>
  <cols>
    <col min="1" max="1" width="8.6640625" customWidth="1"/>
    <col min="2" max="4" width="11" customWidth="1"/>
    <col min="17" max="17" width="8.6640625" customWidth="1"/>
    <col min="18" max="20" width="11" customWidth="1"/>
  </cols>
  <sheetData>
    <row r="1" spans="1:20" x14ac:dyDescent="0.3">
      <c r="A1" t="s">
        <v>73</v>
      </c>
      <c r="B1" s="2" t="s">
        <v>80</v>
      </c>
      <c r="C1" s="2" t="s">
        <v>82</v>
      </c>
      <c r="D1" s="2" t="s">
        <v>81</v>
      </c>
      <c r="Q1" t="s">
        <v>73</v>
      </c>
      <c r="R1" s="2" t="s">
        <v>80</v>
      </c>
      <c r="S1" s="2" t="s">
        <v>82</v>
      </c>
      <c r="T1" s="2" t="s">
        <v>81</v>
      </c>
    </row>
    <row r="2" spans="1:20" x14ac:dyDescent="0.3">
      <c r="A2">
        <v>-0.99</v>
      </c>
      <c r="B2">
        <v>17.039646479333854</v>
      </c>
      <c r="C2">
        <v>23.052745985512388</v>
      </c>
      <c r="D2">
        <v>35.036325657869327</v>
      </c>
      <c r="Q2">
        <v>-0.99</v>
      </c>
      <c r="R2">
        <v>142.21673802319256</v>
      </c>
      <c r="S2">
        <v>148.99329158743723</v>
      </c>
      <c r="T2">
        <v>162.46726351061028</v>
      </c>
    </row>
    <row r="3" spans="1:20" x14ac:dyDescent="0.3">
      <c r="A3">
        <v>-0.98</v>
      </c>
      <c r="B3">
        <v>19.259660569905002</v>
      </c>
      <c r="C3">
        <v>26.247367161508244</v>
      </c>
      <c r="D3">
        <v>40.214339989501077</v>
      </c>
      <c r="Q3">
        <v>-0.98</v>
      </c>
      <c r="R3">
        <v>164.11958973863878</v>
      </c>
      <c r="S3">
        <v>172.11319113002065</v>
      </c>
      <c r="T3">
        <v>188.04316409707351</v>
      </c>
    </row>
    <row r="4" spans="1:20" x14ac:dyDescent="0.3">
      <c r="A4">
        <v>-0.97</v>
      </c>
      <c r="B4">
        <v>20.926223927828023</v>
      </c>
      <c r="C4">
        <v>28.649713547587254</v>
      </c>
      <c r="D4">
        <v>44.121163036249534</v>
      </c>
      <c r="Q4">
        <v>-0.97</v>
      </c>
      <c r="R4">
        <v>180.53354306815538</v>
      </c>
      <c r="S4">
        <v>189.463658606671</v>
      </c>
      <c r="T4">
        <v>207.28912521906196</v>
      </c>
    </row>
    <row r="5" spans="1:20" x14ac:dyDescent="0.3">
      <c r="A5">
        <v>-0.96</v>
      </c>
      <c r="B5">
        <v>22.339782212535759</v>
      </c>
      <c r="C5">
        <v>30.690115796886296</v>
      </c>
      <c r="D5">
        <v>47.448022397957118</v>
      </c>
      <c r="Q5">
        <v>-0.96</v>
      </c>
      <c r="R5">
        <v>194.43512338257827</v>
      </c>
      <c r="S5">
        <v>204.17436378025914</v>
      </c>
      <c r="T5">
        <v>223.64119039369101</v>
      </c>
    </row>
    <row r="6" spans="1:20" x14ac:dyDescent="0.3">
      <c r="A6">
        <v>-0.95</v>
      </c>
      <c r="B6">
        <v>23.606555546797061</v>
      </c>
      <c r="C6">
        <v>32.520768469951591</v>
      </c>
      <c r="D6">
        <v>50.439593790258186</v>
      </c>
      <c r="Q6">
        <v>-0.95</v>
      </c>
      <c r="R6">
        <v>206.87631320306065</v>
      </c>
      <c r="S6">
        <v>217.35185927981902</v>
      </c>
      <c r="T6">
        <v>238.31511124006818</v>
      </c>
    </row>
    <row r="7" spans="1:20" x14ac:dyDescent="0.3">
      <c r="A7">
        <v>-0.94</v>
      </c>
      <c r="B7">
        <v>24.778007677632001</v>
      </c>
      <c r="C7">
        <v>34.215456047335515</v>
      </c>
      <c r="D7">
        <v>53.214571622482602</v>
      </c>
      <c r="Q7">
        <v>-0.94</v>
      </c>
      <c r="R7">
        <v>218.3665849882365</v>
      </c>
      <c r="S7">
        <v>229.5321962817552</v>
      </c>
      <c r="T7">
        <v>251.90023369433246</v>
      </c>
    </row>
    <row r="8" spans="1:20" x14ac:dyDescent="0.3">
      <c r="A8">
        <v>-0.93</v>
      </c>
      <c r="B8">
        <v>25.883520365312744</v>
      </c>
      <c r="C8">
        <v>35.816306295842779</v>
      </c>
      <c r="D8">
        <v>55.840821930855846</v>
      </c>
      <c r="Q8">
        <v>-0.93</v>
      </c>
      <c r="R8">
        <v>229.19669152066473</v>
      </c>
      <c r="S8">
        <v>241.02140314000269</v>
      </c>
      <c r="T8">
        <v>264.73318020043632</v>
      </c>
    </row>
    <row r="9" spans="1:20" x14ac:dyDescent="0.3">
      <c r="A9">
        <v>-0.92</v>
      </c>
      <c r="B9">
        <v>26.941705139707995</v>
      </c>
      <c r="C9">
        <v>37.35005122090778</v>
      </c>
      <c r="D9">
        <v>58.361411101526777</v>
      </c>
      <c r="Q9">
        <v>-0.92</v>
      </c>
      <c r="R9">
        <v>239.55064582370457</v>
      </c>
      <c r="S9">
        <v>252.01324937296374</v>
      </c>
      <c r="T9">
        <v>277.0273271546792</v>
      </c>
    </row>
    <row r="10" spans="1:20" x14ac:dyDescent="0.3">
      <c r="A10">
        <v>-0.91</v>
      </c>
      <c r="B10">
        <v>27.965258069457725</v>
      </c>
      <c r="C10">
        <v>38.834903129359326</v>
      </c>
      <c r="D10">
        <v>60.80577285577133</v>
      </c>
      <c r="Q10">
        <v>-0.91</v>
      </c>
      <c r="R10">
        <v>249.55374317248689</v>
      </c>
      <c r="S10">
        <v>262.63974762276604</v>
      </c>
      <c r="T10">
        <v>288.92815974287356</v>
      </c>
    </row>
    <row r="11" spans="1:20" x14ac:dyDescent="0.3">
      <c r="A11">
        <v>-0.9</v>
      </c>
      <c r="B11">
        <v>28.963305953340907</v>
      </c>
      <c r="C11">
        <v>40.284000856520223</v>
      </c>
      <c r="D11">
        <v>63.19516871366968</v>
      </c>
      <c r="Q11">
        <v>-0.9</v>
      </c>
      <c r="R11">
        <v>259.29613069215401</v>
      </c>
      <c r="S11">
        <v>272.99590485899796</v>
      </c>
      <c r="T11">
        <v>300.54056122393291</v>
      </c>
    </row>
    <row r="12" spans="1:20" x14ac:dyDescent="0.3">
      <c r="A12">
        <v>-0.89</v>
      </c>
      <c r="B12">
        <v>29.942759857472627</v>
      </c>
      <c r="C12">
        <v>41.707253044730102</v>
      </c>
      <c r="D12">
        <v>65.545637700830028</v>
      </c>
      <c r="Q12">
        <v>-0.89</v>
      </c>
      <c r="R12">
        <v>268.8454630714362</v>
      </c>
      <c r="S12">
        <v>283.15314591306742</v>
      </c>
      <c r="T12">
        <v>311.94343386004726</v>
      </c>
    </row>
    <row r="13" spans="1:20" x14ac:dyDescent="0.3">
      <c r="A13">
        <v>-0.88</v>
      </c>
      <c r="B13">
        <v>30.908963479963813</v>
      </c>
      <c r="C13">
        <v>43.112403865793389</v>
      </c>
      <c r="D13">
        <v>67.869795535964471</v>
      </c>
      <c r="Q13">
        <v>-0.88</v>
      </c>
      <c r="R13">
        <v>278.25448727450487</v>
      </c>
      <c r="S13">
        <v>293.16715177227758</v>
      </c>
      <c r="T13">
        <v>323.19847506999412</v>
      </c>
    </row>
    <row r="14" spans="1:20" x14ac:dyDescent="0.3">
      <c r="A14">
        <v>-0.87</v>
      </c>
      <c r="B14">
        <v>31.866250559118683</v>
      </c>
      <c r="C14">
        <v>44.505691567896896</v>
      </c>
      <c r="D14">
        <v>70.177842729853595</v>
      </c>
      <c r="Q14">
        <v>-0.87</v>
      </c>
      <c r="R14">
        <v>287.56548863239897</v>
      </c>
      <c r="S14">
        <v>303.08263441827506</v>
      </c>
      <c r="T14">
        <v>334.35530050831426</v>
      </c>
    </row>
    <row r="15" spans="1:20" x14ac:dyDescent="0.3">
      <c r="A15">
        <v>-0.86</v>
      </c>
      <c r="B15">
        <v>32.818197634816379</v>
      </c>
      <c r="C15">
        <v>45.892305163300932</v>
      </c>
      <c r="D15">
        <v>72.478234568896269</v>
      </c>
      <c r="Q15">
        <v>-0.86</v>
      </c>
      <c r="R15">
        <v>296.81337578083452</v>
      </c>
      <c r="S15">
        <v>312.93652578769451</v>
      </c>
      <c r="T15">
        <v>345.45503954993933</v>
      </c>
    </row>
    <row r="16" spans="1:20" x14ac:dyDescent="0.3">
      <c r="A16">
        <v>-0.85</v>
      </c>
      <c r="B16">
        <v>33.76785549425307</v>
      </c>
      <c r="C16">
        <v>47.276643378880969</v>
      </c>
      <c r="D16">
        <v>74.778260871153378</v>
      </c>
      <c r="Q16">
        <v>-0.85</v>
      </c>
      <c r="R16">
        <v>306.02755345588525</v>
      </c>
      <c r="S16">
        <v>322.76008005911808</v>
      </c>
      <c r="T16">
        <v>356.53257953384906</v>
      </c>
    </row>
    <row r="17" spans="1:20" x14ac:dyDescent="0.3">
      <c r="A17">
        <v>-0.84</v>
      </c>
      <c r="B17">
        <v>34.717839990353461</v>
      </c>
      <c r="C17">
        <v>48.662522523826624</v>
      </c>
      <c r="D17">
        <v>77.084225714188207</v>
      </c>
      <c r="Q17">
        <v>-0.84</v>
      </c>
      <c r="R17">
        <v>315.23347276553551</v>
      </c>
      <c r="S17">
        <v>332.58027392408445</v>
      </c>
      <c r="T17">
        <v>367.61812672293786</v>
      </c>
    </row>
    <row r="18" spans="1:20" x14ac:dyDescent="0.3">
      <c r="A18">
        <v>-0.83</v>
      </c>
      <c r="B18">
        <v>35.670485004847116</v>
      </c>
      <c r="C18">
        <v>50.053361718025691</v>
      </c>
      <c r="D18">
        <v>79.401801408254656</v>
      </c>
      <c r="Q18">
        <v>-0.83</v>
      </c>
      <c r="R18">
        <v>324.45347723629396</v>
      </c>
      <c r="S18">
        <v>342.42088653598597</v>
      </c>
      <c r="T18">
        <v>378.73844775754685</v>
      </c>
    </row>
    <row r="19" spans="1:20" x14ac:dyDescent="0.3">
      <c r="A19">
        <v>-0.82</v>
      </c>
      <c r="B19">
        <v>36.627880705822214</v>
      </c>
      <c r="C19">
        <v>51.452233113924692</v>
      </c>
      <c r="D19">
        <v>81.736136663028063</v>
      </c>
      <c r="Q19">
        <v>-0.82</v>
      </c>
      <c r="R19">
        <v>333.70760206928122</v>
      </c>
      <c r="S19">
        <v>352.30332464525367</v>
      </c>
      <c r="T19">
        <v>389.91771451464166</v>
      </c>
    </row>
    <row r="20" spans="1:20" x14ac:dyDescent="0.3">
      <c r="A20">
        <v>-0.81</v>
      </c>
      <c r="B20">
        <v>37.591972758481091</v>
      </c>
      <c r="C20">
        <v>52.861946400806318</v>
      </c>
      <c r="D20">
        <v>84.091990893656558</v>
      </c>
      <c r="Q20">
        <v>-0.81</v>
      </c>
      <c r="R20">
        <v>343.01411801897621</v>
      </c>
      <c r="S20">
        <v>362.24712374784906</v>
      </c>
      <c r="T20">
        <v>401.1780310508716</v>
      </c>
    </row>
    <row r="21" spans="1:20" x14ac:dyDescent="0.3">
      <c r="A21">
        <v>-0.8</v>
      </c>
      <c r="B21">
        <v>38.564559270441151</v>
      </c>
      <c r="C21">
        <v>54.285152794565263</v>
      </c>
      <c r="D21">
        <v>86.473859264395742</v>
      </c>
      <c r="Q21">
        <v>-0.8</v>
      </c>
      <c r="R21">
        <v>352.38995893078612</v>
      </c>
      <c r="S21">
        <v>372.27036831518774</v>
      </c>
      <c r="T21">
        <v>412.54008040893103</v>
      </c>
    </row>
    <row r="22" spans="1:20" x14ac:dyDescent="0.3">
      <c r="A22">
        <v>-0.79</v>
      </c>
      <c r="B22">
        <v>39.547317907953293</v>
      </c>
      <c r="C22">
        <v>55.724388592320658</v>
      </c>
      <c r="D22">
        <v>88.886050569843832</v>
      </c>
      <c r="Q22">
        <v>-0.79</v>
      </c>
      <c r="R22">
        <v>361.85101635404317</v>
      </c>
      <c r="S22">
        <v>382.39017867390487</v>
      </c>
      <c r="T22">
        <v>424.02336277468908</v>
      </c>
    </row>
    <row r="23" spans="1:20" x14ac:dyDescent="0.3">
      <c r="A23">
        <v>-0.78</v>
      </c>
      <c r="B23">
        <v>40.541909403172298</v>
      </c>
      <c r="C23">
        <v>57.182055664993833</v>
      </c>
      <c r="D23">
        <v>91.332714516274095</v>
      </c>
      <c r="Q23">
        <v>-0.78</v>
      </c>
      <c r="R23">
        <v>371.41239790768901</v>
      </c>
      <c r="S23">
        <v>392.62279625867603</v>
      </c>
      <c r="T23">
        <v>435.64659479749537</v>
      </c>
    </row>
    <row r="24" spans="1:20" x14ac:dyDescent="0.3">
      <c r="A24">
        <v>-0.77</v>
      </c>
      <c r="B24">
        <v>41.549901577212026</v>
      </c>
      <c r="C24">
        <v>58.660531958052616</v>
      </c>
      <c r="D24">
        <v>93.817927439781798</v>
      </c>
      <c r="Q24">
        <v>-0.77</v>
      </c>
      <c r="R24">
        <v>381.08872467885408</v>
      </c>
      <c r="S24">
        <v>402.98399435363643</v>
      </c>
      <c r="T24">
        <v>447.42797173322464</v>
      </c>
    </row>
    <row r="25" spans="1:20" x14ac:dyDescent="0.3">
      <c r="A25">
        <v>-0.76</v>
      </c>
      <c r="B25">
        <v>42.572843981550932</v>
      </c>
      <c r="C25">
        <v>60.162138453280889</v>
      </c>
      <c r="D25">
        <v>96.345745544307533</v>
      </c>
      <c r="Q25">
        <v>-0.76</v>
      </c>
      <c r="R25">
        <v>390.89421234120283</v>
      </c>
      <c r="S25">
        <v>413.48915714491017</v>
      </c>
      <c r="T25">
        <v>459.38536291572007</v>
      </c>
    </row>
    <row r="26" spans="1:20" x14ac:dyDescent="0.3">
      <c r="A26">
        <v>-0.75</v>
      </c>
      <c r="B26">
        <v>43.61231391990782</v>
      </c>
      <c r="C26">
        <v>61.689171120243081</v>
      </c>
      <c r="D26">
        <v>98.92024249560049</v>
      </c>
      <c r="Q26">
        <v>-0.75</v>
      </c>
      <c r="R26">
        <v>400.84287254154407</v>
      </c>
      <c r="S26">
        <v>424.15348635850563</v>
      </c>
      <c r="T26">
        <v>471.53639166535794</v>
      </c>
    </row>
    <row r="27" spans="1:20" x14ac:dyDescent="0.3">
      <c r="A27">
        <v>-0.74</v>
      </c>
      <c r="B27">
        <v>44.669825271463921</v>
      </c>
      <c r="C27">
        <v>63.244000704559411</v>
      </c>
      <c r="D27">
        <v>101.54551090873318</v>
      </c>
      <c r="Q27">
        <v>-0.74</v>
      </c>
      <c r="R27">
        <v>410.94860897864424</v>
      </c>
      <c r="S27">
        <v>434.99207186783127</v>
      </c>
      <c r="T27">
        <v>483.8988026900729</v>
      </c>
    </row>
    <row r="28" spans="1:20" x14ac:dyDescent="0.3">
      <c r="A28">
        <v>-0.73</v>
      </c>
      <c r="B28">
        <v>45.746966798715135</v>
      </c>
      <c r="C28">
        <v>64.828942198830987</v>
      </c>
      <c r="D28">
        <v>104.22570326123115</v>
      </c>
      <c r="Q28">
        <v>-0.73</v>
      </c>
      <c r="R28">
        <v>421.22543549463046</v>
      </c>
      <c r="S28">
        <v>446.02014081407935</v>
      </c>
      <c r="T28">
        <v>496.4904010582058</v>
      </c>
    </row>
    <row r="29" spans="1:20" x14ac:dyDescent="0.3">
      <c r="A29">
        <v>-0.72</v>
      </c>
      <c r="B29">
        <v>46.845326885752179</v>
      </c>
      <c r="C29">
        <v>66.446439413829054</v>
      </c>
      <c r="D29">
        <v>106.96513477872236</v>
      </c>
      <c r="Q29">
        <v>-0.72</v>
      </c>
      <c r="R29">
        <v>431.68740081583627</v>
      </c>
      <c r="S29">
        <v>457.25308188023178</v>
      </c>
      <c r="T29">
        <v>509.3293531555679</v>
      </c>
    </row>
    <row r="30" spans="1:20" x14ac:dyDescent="0.3">
      <c r="A30">
        <v>-0.71</v>
      </c>
      <c r="B30">
        <v>47.966525500888928</v>
      </c>
      <c r="C30">
        <v>68.09895175970631</v>
      </c>
      <c r="D30">
        <v>109.76821359503455</v>
      </c>
      <c r="Q30">
        <v>-0.71</v>
      </c>
      <c r="R30">
        <v>442.34885954515721</v>
      </c>
      <c r="S30">
        <v>468.70657519784987</v>
      </c>
      <c r="T30">
        <v>522.43415514348999</v>
      </c>
    </row>
    <row r="31" spans="1:20" x14ac:dyDescent="0.3">
      <c r="A31">
        <v>-0.7</v>
      </c>
      <c r="B31">
        <v>49.112239304839065</v>
      </c>
      <c r="C31">
        <v>69.789032991992485</v>
      </c>
      <c r="D31">
        <v>112.63949775155442</v>
      </c>
      <c r="Q31">
        <v>-0.7</v>
      </c>
      <c r="R31">
        <v>453.22450608159977</v>
      </c>
      <c r="S31">
        <v>480.39667507975605</v>
      </c>
      <c r="T31">
        <v>535.82384049501945</v>
      </c>
    </row>
    <row r="32" spans="1:20" x14ac:dyDescent="0.3">
      <c r="A32">
        <v>-0.69</v>
      </c>
      <c r="B32">
        <v>50.284235470872936</v>
      </c>
      <c r="C32">
        <v>71.519318793453294</v>
      </c>
      <c r="D32">
        <v>115.58382748900218</v>
      </c>
      <c r="Q32">
        <v>-0.69</v>
      </c>
      <c r="R32">
        <v>464.32944279985554</v>
      </c>
      <c r="S32">
        <v>492.33993735766023</v>
      </c>
      <c r="T32">
        <v>549.51819326336567</v>
      </c>
    </row>
    <row r="33" spans="1:20" x14ac:dyDescent="0.3">
      <c r="A33">
        <v>-0.68</v>
      </c>
      <c r="B33">
        <v>51.484264102242868</v>
      </c>
      <c r="C33">
        <v>73.292617943967713</v>
      </c>
      <c r="D33">
        <v>118.60617824730039</v>
      </c>
      <c r="Q33">
        <v>-0.68</v>
      </c>
      <c r="R33">
        <v>475.67923145693482</v>
      </c>
      <c r="S33">
        <v>504.55347804499786</v>
      </c>
      <c r="T33">
        <v>563.53765896481741</v>
      </c>
    </row>
    <row r="34" spans="1:20" x14ac:dyDescent="0.3">
      <c r="A34">
        <v>-0.67</v>
      </c>
      <c r="B34">
        <v>52.714297729181368</v>
      </c>
      <c r="C34">
        <v>75.111780899343202</v>
      </c>
      <c r="D34">
        <v>121.71183751248057</v>
      </c>
      <c r="Q34">
        <v>-0.67</v>
      </c>
      <c r="R34">
        <v>487.29014112619706</v>
      </c>
      <c r="S34">
        <v>517.05518036960086</v>
      </c>
      <c r="T34">
        <v>577.90350082794134</v>
      </c>
    </row>
    <row r="35" spans="1:20" x14ac:dyDescent="0.3">
      <c r="A35">
        <v>-0.66</v>
      </c>
      <c r="B35">
        <v>53.976258285177643</v>
      </c>
      <c r="C35">
        <v>76.979887969376037</v>
      </c>
      <c r="D35">
        <v>124.90633075793288</v>
      </c>
      <c r="Q35">
        <v>-0.66</v>
      </c>
      <c r="R35">
        <v>499.17900361209166</v>
      </c>
      <c r="S35">
        <v>529.86366514186182</v>
      </c>
      <c r="T35">
        <v>592.63810874560625</v>
      </c>
    </row>
    <row r="36" spans="1:20" x14ac:dyDescent="0.3">
      <c r="A36">
        <v>-0.65</v>
      </c>
      <c r="B36">
        <v>55.272274635953671</v>
      </c>
      <c r="C36">
        <v>78.900154060149404</v>
      </c>
      <c r="D36">
        <v>128.1955666437735</v>
      </c>
      <c r="Q36">
        <v>-0.65</v>
      </c>
      <c r="R36">
        <v>511.3635320535243</v>
      </c>
      <c r="S36">
        <v>542.99838412212944</v>
      </c>
      <c r="T36">
        <v>607.76498964841903</v>
      </c>
    </row>
    <row r="37" spans="1:20" x14ac:dyDescent="0.3">
      <c r="A37">
        <v>-0.64</v>
      </c>
      <c r="B37">
        <v>56.604527973532527</v>
      </c>
      <c r="C37">
        <v>80.875972207486811</v>
      </c>
      <c r="D37">
        <v>131.58582051005038</v>
      </c>
      <c r="Q37">
        <v>-0.64</v>
      </c>
      <c r="R37">
        <v>523.86225060290815</v>
      </c>
      <c r="S37">
        <v>556.47992766634377</v>
      </c>
      <c r="T37">
        <v>623.30875046156029</v>
      </c>
    </row>
    <row r="38" spans="1:20" x14ac:dyDescent="0.3">
      <c r="A38">
        <v>-0.63</v>
      </c>
      <c r="B38">
        <v>57.975385218294321</v>
      </c>
      <c r="C38">
        <v>82.910959531032006</v>
      </c>
      <c r="D38">
        <v>135.08371732267491</v>
      </c>
      <c r="Q38">
        <v>-0.63</v>
      </c>
      <c r="R38">
        <v>536.69479534532434</v>
      </c>
      <c r="S38">
        <v>570.32989858405836</v>
      </c>
      <c r="T38">
        <v>639.29562392093305</v>
      </c>
    </row>
    <row r="39" spans="1:20" x14ac:dyDescent="0.3">
      <c r="A39">
        <v>-0.62</v>
      </c>
      <c r="B39">
        <v>59.387308105228996</v>
      </c>
      <c r="C39">
        <v>85.008933323597049</v>
      </c>
      <c r="D39">
        <v>138.69639117423185</v>
      </c>
      <c r="Q39">
        <v>-0.62</v>
      </c>
      <c r="R39">
        <v>549.88173235270506</v>
      </c>
      <c r="S39">
        <v>584.57104228088269</v>
      </c>
      <c r="T39">
        <v>655.75327361497614</v>
      </c>
    </row>
    <row r="40" spans="1:20" x14ac:dyDescent="0.3">
      <c r="A40">
        <v>-0.61</v>
      </c>
      <c r="B40">
        <v>60.842956977011902</v>
      </c>
      <c r="C40">
        <v>87.174069408302898</v>
      </c>
      <c r="D40">
        <v>142.43143360756929</v>
      </c>
      <c r="Q40">
        <v>-0.61</v>
      </c>
      <c r="R40">
        <v>563.44495194165722</v>
      </c>
      <c r="S40">
        <v>599.22775963698234</v>
      </c>
      <c r="T40">
        <v>672.71113845471848</v>
      </c>
    </row>
    <row r="41" spans="1:20" x14ac:dyDescent="0.3">
      <c r="A41">
        <v>-0.6</v>
      </c>
      <c r="B41">
        <v>62.345166131856139</v>
      </c>
      <c r="C41">
        <v>89.410737117292754</v>
      </c>
      <c r="D41">
        <v>146.29697522320112</v>
      </c>
      <c r="Q41">
        <v>-0.6</v>
      </c>
      <c r="R41">
        <v>577.40770590921227</v>
      </c>
      <c r="S41">
        <v>614.32572743422929</v>
      </c>
      <c r="T41">
        <v>690.20040125473236</v>
      </c>
    </row>
    <row r="42" spans="1:20" x14ac:dyDescent="0.3">
      <c r="A42">
        <v>-0.59</v>
      </c>
      <c r="B42">
        <v>63.896985392274736</v>
      </c>
      <c r="C42">
        <v>91.723586985744006</v>
      </c>
      <c r="D42">
        <v>150.30191341818053</v>
      </c>
      <c r="Q42">
        <v>-0.59</v>
      </c>
      <c r="R42">
        <v>591.79457214694901</v>
      </c>
      <c r="S42">
        <v>629.89244705620274</v>
      </c>
      <c r="T42">
        <v>708.25465347650299</v>
      </c>
    </row>
    <row r="43" spans="1:20" x14ac:dyDescent="0.3">
      <c r="A43">
        <v>-0.57999999999999996</v>
      </c>
      <c r="B43">
        <v>65.50162306472437</v>
      </c>
      <c r="C43">
        <v>94.117794184932677</v>
      </c>
      <c r="D43">
        <v>154.45559916399012</v>
      </c>
      <c r="Q43">
        <v>-0.57999999999999996</v>
      </c>
      <c r="R43">
        <v>606.6319238927706</v>
      </c>
      <c r="S43">
        <v>645.95708791192624</v>
      </c>
      <c r="T43">
        <v>726.90957119049847</v>
      </c>
    </row>
    <row r="44" spans="1:20" x14ac:dyDescent="0.3">
      <c r="A44">
        <v>-0.56999999999999995</v>
      </c>
      <c r="B44">
        <v>67.162589899466738</v>
      </c>
      <c r="C44">
        <v>96.598709569020983</v>
      </c>
      <c r="D44">
        <v>158.76835268424043</v>
      </c>
      <c r="Q44">
        <v>-0.56999999999999995</v>
      </c>
      <c r="R44">
        <v>621.94786487426302</v>
      </c>
      <c r="S44">
        <v>662.55103044953307</v>
      </c>
      <c r="T44">
        <v>746.20346095526656</v>
      </c>
    </row>
    <row r="45" spans="1:20" x14ac:dyDescent="0.3">
      <c r="A45">
        <v>-0.56000000000000005</v>
      </c>
      <c r="B45">
        <v>68.883713433964289</v>
      </c>
      <c r="C45">
        <v>99.172334664501122</v>
      </c>
      <c r="D45">
        <v>163.25115895786237</v>
      </c>
      <c r="Q45">
        <v>-0.56000000000000005</v>
      </c>
      <c r="R45">
        <v>637.77253463180693</v>
      </c>
      <c r="S45">
        <v>679.70782165973787</v>
      </c>
      <c r="T45">
        <v>766.17740743748345</v>
      </c>
    </row>
    <row r="46" spans="1:20" x14ac:dyDescent="0.3">
      <c r="A46">
        <v>-0.55000000000000004</v>
      </c>
      <c r="B46">
        <v>70.668982454999878</v>
      </c>
      <c r="C46">
        <v>101.84493585398546</v>
      </c>
      <c r="D46">
        <v>167.91612068384686</v>
      </c>
      <c r="Q46">
        <v>-0.55000000000000004</v>
      </c>
      <c r="R46">
        <v>654.13821619878149</v>
      </c>
      <c r="S46">
        <v>697.46345687617668</v>
      </c>
      <c r="T46">
        <v>786.87563380147014</v>
      </c>
    </row>
    <row r="47" spans="1:20" x14ac:dyDescent="0.3">
      <c r="A47">
        <v>-0.54</v>
      </c>
      <c r="B47">
        <v>72.522834330545138</v>
      </c>
      <c r="C47">
        <v>104.6234968998846</v>
      </c>
      <c r="D47">
        <v>172.77615993540888</v>
      </c>
      <c r="Q47">
        <v>-0.54</v>
      </c>
      <c r="R47">
        <v>671.07970128181307</v>
      </c>
      <c r="S47">
        <v>715.85688217021834</v>
      </c>
      <c r="T47">
        <v>808.3459142878321</v>
      </c>
    </row>
    <row r="48" spans="1:20" x14ac:dyDescent="0.3">
      <c r="A48">
        <v>-0.53</v>
      </c>
      <c r="B48">
        <v>74.450073462101329</v>
      </c>
      <c r="C48">
        <v>107.51549006600207</v>
      </c>
      <c r="D48">
        <v>177.84565470150605</v>
      </c>
      <c r="Q48">
        <v>-0.53</v>
      </c>
      <c r="R48">
        <v>688.63427929554541</v>
      </c>
      <c r="S48">
        <v>734.92982995851696</v>
      </c>
      <c r="T48">
        <v>830.6398280720872</v>
      </c>
    </row>
    <row r="49" spans="1:20" x14ac:dyDescent="0.3">
      <c r="A49">
        <v>-0.52</v>
      </c>
      <c r="B49">
        <v>76.455857444453443</v>
      </c>
      <c r="C49">
        <v>110.5291141892973</v>
      </c>
      <c r="D49">
        <v>183.14000974887978</v>
      </c>
      <c r="Q49">
        <v>-0.52</v>
      </c>
      <c r="R49">
        <v>706.84241896895958</v>
      </c>
      <c r="S49">
        <v>754.72746834774898</v>
      </c>
      <c r="T49">
        <v>853.81303494370206</v>
      </c>
    </row>
    <row r="50" spans="1:20" x14ac:dyDescent="0.3">
      <c r="A50">
        <v>-0.51</v>
      </c>
      <c r="B50">
        <v>78.545896047190013</v>
      </c>
      <c r="C50">
        <v>113.67326796927165</v>
      </c>
      <c r="D50">
        <v>188.6762342789965</v>
      </c>
      <c r="Q50">
        <v>-0.51</v>
      </c>
      <c r="R50">
        <v>725.74764632396887</v>
      </c>
      <c r="S50">
        <v>775.29876199855948</v>
      </c>
      <c r="T50">
        <v>877.92592899567649</v>
      </c>
    </row>
    <row r="51" spans="1:20" x14ac:dyDescent="0.3">
      <c r="A51">
        <v>-0.5</v>
      </c>
      <c r="B51">
        <v>80.726305090685941</v>
      </c>
      <c r="C51">
        <v>116.95776982102041</v>
      </c>
      <c r="D51">
        <v>194.47299832675307</v>
      </c>
      <c r="Q51">
        <v>-0.5</v>
      </c>
      <c r="R51">
        <v>745.39742059611342</v>
      </c>
      <c r="S51">
        <v>796.69667223886313</v>
      </c>
      <c r="T51">
        <v>903.04427785132452</v>
      </c>
    </row>
    <row r="52" spans="1:20" x14ac:dyDescent="0.3">
      <c r="A52">
        <v>-0.49</v>
      </c>
      <c r="B52">
        <v>83.003922535415228</v>
      </c>
      <c r="C52">
        <v>120.39326532884273</v>
      </c>
      <c r="D52">
        <v>200.55069974836294</v>
      </c>
      <c r="Q52">
        <v>-0.49</v>
      </c>
      <c r="R52">
        <v>765.84288574844641</v>
      </c>
      <c r="S52">
        <v>818.97879626561314</v>
      </c>
      <c r="T52">
        <v>929.23970577955208</v>
      </c>
    </row>
    <row r="53" spans="1:20" x14ac:dyDescent="0.3">
      <c r="A53">
        <v>-0.48</v>
      </c>
      <c r="B53">
        <v>85.386135334951376</v>
      </c>
      <c r="C53">
        <v>123.99150944942548</v>
      </c>
      <c r="D53">
        <v>206.93193271092417</v>
      </c>
      <c r="Q53">
        <v>-0.48</v>
      </c>
      <c r="R53">
        <v>787.13996505665739</v>
      </c>
      <c r="S53">
        <v>842.2078872773119</v>
      </c>
      <c r="T53">
        <v>956.58996573168054</v>
      </c>
    </row>
    <row r="54" spans="1:20" x14ac:dyDescent="0.3">
      <c r="A54">
        <v>-0.47</v>
      </c>
      <c r="B54">
        <v>87.881102856283803</v>
      </c>
      <c r="C54">
        <v>127.76541977564256</v>
      </c>
      <c r="D54">
        <v>213.64156453810097</v>
      </c>
      <c r="Q54">
        <v>-0.47</v>
      </c>
      <c r="R54">
        <v>809.34939040949632</v>
      </c>
      <c r="S54">
        <v>866.45244670868124</v>
      </c>
      <c r="T54">
        <v>985.18045145398412</v>
      </c>
    </row>
    <row r="55" spans="1:20" x14ac:dyDescent="0.3">
      <c r="A55">
        <v>-0.46</v>
      </c>
      <c r="B55">
        <v>90.497811149729515</v>
      </c>
      <c r="C55">
        <v>131.72935546084281</v>
      </c>
      <c r="D55">
        <v>220.70717645718958</v>
      </c>
      <c r="Q55">
        <v>-0.46</v>
      </c>
      <c r="R55">
        <v>832.53768196472402</v>
      </c>
      <c r="S55">
        <v>891.78727983879537</v>
      </c>
      <c r="T55">
        <v>1015.1045740651057</v>
      </c>
    </row>
    <row r="56" spans="1:20" x14ac:dyDescent="0.3">
      <c r="A56">
        <v>-0.45</v>
      </c>
      <c r="B56">
        <v>93.246190598181343</v>
      </c>
      <c r="C56">
        <v>135.89909757175107</v>
      </c>
      <c r="D56">
        <v>228.1592427725223</v>
      </c>
      <c r="Q56">
        <v>-0.45</v>
      </c>
      <c r="R56">
        <v>856.77750513461604</v>
      </c>
      <c r="S56">
        <v>918.29437128934842</v>
      </c>
      <c r="T56">
        <v>1046.4647353328542</v>
      </c>
    </row>
    <row r="57" spans="1:20" x14ac:dyDescent="0.3">
      <c r="A57">
        <v>-0.44</v>
      </c>
      <c r="B57">
        <v>96.137264576050271</v>
      </c>
      <c r="C57">
        <v>140.29225797512572</v>
      </c>
      <c r="D57">
        <v>236.03185898534383</v>
      </c>
      <c r="Q57">
        <v>-0.44</v>
      </c>
      <c r="R57">
        <v>882.14864411650785</v>
      </c>
      <c r="S57">
        <v>946.06364058138161</v>
      </c>
      <c r="T57">
        <v>1079.3739191353302</v>
      </c>
    </row>
    <row r="58" spans="1:20" x14ac:dyDescent="0.3">
      <c r="A58">
        <v>-0.43</v>
      </c>
      <c r="B58">
        <v>99.183236955710939</v>
      </c>
      <c r="C58">
        <v>144.92823728776173</v>
      </c>
      <c r="D58">
        <v>244.36302281288252</v>
      </c>
      <c r="Q58">
        <v>-0.43</v>
      </c>
      <c r="R58">
        <v>908.7388952540897</v>
      </c>
      <c r="S58">
        <v>975.19448103751574</v>
      </c>
      <c r="T58">
        <v>1113.95626864154</v>
      </c>
    </row>
    <row r="59" spans="1:20" x14ac:dyDescent="0.3">
      <c r="A59">
        <v>-0.42</v>
      </c>
      <c r="B59">
        <v>102.39774742759963</v>
      </c>
      <c r="C59">
        <v>149.82892531971734</v>
      </c>
      <c r="D59">
        <v>253.19509468393534</v>
      </c>
      <c r="Q59">
        <v>-0.42</v>
      </c>
      <c r="R59">
        <v>936.64471178346753</v>
      </c>
      <c r="S59">
        <v>1005.7958877541993</v>
      </c>
      <c r="T59">
        <v>1150.3497274485624</v>
      </c>
    </row>
    <row r="60" spans="1:20" x14ac:dyDescent="0.3">
      <c r="A60">
        <v>-0.41</v>
      </c>
      <c r="B60">
        <v>105.79593750256305</v>
      </c>
      <c r="C60">
        <v>155.01871283026071</v>
      </c>
      <c r="D60">
        <v>262.5757679863637</v>
      </c>
      <c r="Q60">
        <v>-0.41</v>
      </c>
      <c r="R60">
        <v>965.97298838606775</v>
      </c>
      <c r="S60">
        <v>1037.9890149347236</v>
      </c>
      <c r="T60">
        <v>1188.7063666807762</v>
      </c>
    </row>
    <row r="61" spans="1:20" x14ac:dyDescent="0.3">
      <c r="A61">
        <v>-0.4</v>
      </c>
      <c r="B61">
        <v>109.39498900820325</v>
      </c>
      <c r="C61">
        <v>160.52506885781719</v>
      </c>
      <c r="D61">
        <v>272.55870384988185</v>
      </c>
      <c r="Q61">
        <v>-0.4</v>
      </c>
      <c r="R61">
        <v>996.84193723388466</v>
      </c>
      <c r="S61">
        <v>1071.9081180226428</v>
      </c>
      <c r="T61">
        <v>1229.1961741633916</v>
      </c>
    </row>
    <row r="62" spans="1:20" x14ac:dyDescent="0.3">
      <c r="A62">
        <v>-0.39</v>
      </c>
      <c r="B62">
        <v>113.21399161447086</v>
      </c>
      <c r="C62">
        <v>166.37871411298119</v>
      </c>
      <c r="D62">
        <v>283.20442690024629</v>
      </c>
      <c r="Q62">
        <v>-0.39</v>
      </c>
      <c r="R62">
        <v>1029.3829355270832</v>
      </c>
      <c r="S62">
        <v>1107.7020607809368</v>
      </c>
      <c r="T62">
        <v>1272.0075457427256</v>
      </c>
    </row>
    <row r="63" spans="1:20" x14ac:dyDescent="0.3">
      <c r="A63">
        <v>-0.38</v>
      </c>
      <c r="B63">
        <v>117.27455118718132</v>
      </c>
      <c r="C63">
        <v>172.61473123937856</v>
      </c>
      <c r="D63">
        <v>294.58182805513582</v>
      </c>
      <c r="Q63">
        <v>-0.38</v>
      </c>
      <c r="R63">
        <v>1063.742104091255</v>
      </c>
      <c r="S63">
        <v>1145.5372427331756</v>
      </c>
      <c r="T63">
        <v>1317.3517847135111</v>
      </c>
    </row>
    <row r="64" spans="1:20" x14ac:dyDescent="0.3">
      <c r="A64">
        <v>-0.37</v>
      </c>
      <c r="B64">
        <v>121.60130378769026</v>
      </c>
      <c r="C64">
        <v>179.27262138858342</v>
      </c>
      <c r="D64">
        <v>306.76877712023321</v>
      </c>
      <c r="Q64">
        <v>-0.37</v>
      </c>
      <c r="R64">
        <v>1100.0829380310104</v>
      </c>
      <c r="S64">
        <v>1185.5998916483165</v>
      </c>
      <c r="T64">
        <v>1365.4657929483469</v>
      </c>
    </row>
    <row r="65" spans="1:20" x14ac:dyDescent="0.3">
      <c r="A65">
        <v>-0.36</v>
      </c>
      <c r="B65">
        <v>126.22199346257543</v>
      </c>
      <c r="C65">
        <v>186.39744004590528</v>
      </c>
      <c r="D65">
        <v>319.85456167703205</v>
      </c>
      <c r="Q65">
        <v>-0.36</v>
      </c>
      <c r="R65">
        <v>1138.5886220353418</v>
      </c>
      <c r="S65">
        <v>1228.0985472567163</v>
      </c>
      <c r="T65">
        <v>1416.6153821635935</v>
      </c>
    </row>
    <row r="66" spans="1:20" x14ac:dyDescent="0.3">
      <c r="A66">
        <v>-0.35</v>
      </c>
      <c r="B66">
        <v>131.16836056112993</v>
      </c>
      <c r="C66">
        <v>194.04091700669844</v>
      </c>
      <c r="D66">
        <v>333.94157591179436</v>
      </c>
      <c r="Q66">
        <v>-0.35</v>
      </c>
      <c r="R66">
        <v>1179.4647403344477</v>
      </c>
      <c r="S66">
        <v>1273.2683423864526</v>
      </c>
      <c r="T66">
        <v>1471.1013623358033</v>
      </c>
    </row>
    <row r="67" spans="1:20" x14ac:dyDescent="0.3">
      <c r="A67">
        <v>-0.34</v>
      </c>
      <c r="B67">
        <v>136.47707097834504</v>
      </c>
      <c r="C67">
        <v>202.26224351512738</v>
      </c>
      <c r="D67">
        <v>349.14738873060276</v>
      </c>
      <c r="Q67">
        <v>-0.34</v>
      </c>
      <c r="R67">
        <v>1222.9434056044606</v>
      </c>
      <c r="S67">
        <v>1321.3745354220875</v>
      </c>
      <c r="T67">
        <v>1529.2639050140776</v>
      </c>
    </row>
    <row r="68" spans="1:20" x14ac:dyDescent="0.3">
      <c r="A68">
        <v>-0.33</v>
      </c>
      <c r="B68">
        <v>142.18989951204236</v>
      </c>
      <c r="C68">
        <v>211.12982808426452</v>
      </c>
      <c r="D68">
        <v>365.60815898801536</v>
      </c>
      <c r="Q68">
        <v>-0.33</v>
      </c>
      <c r="R68">
        <v>1269.2874852750188</v>
      </c>
      <c r="S68">
        <v>1372.718208295719</v>
      </c>
      <c r="T68">
        <v>1591.4898100295438</v>
      </c>
    </row>
    <row r="69" spans="1:20" x14ac:dyDescent="0.3">
      <c r="A69">
        <v>-0.32</v>
      </c>
      <c r="B69">
        <v>148.35554519572457</v>
      </c>
      <c r="C69">
        <v>220.72283702335321</v>
      </c>
      <c r="D69">
        <v>383.48198174032734</v>
      </c>
      <c r="Q69">
        <v>-0.32</v>
      </c>
      <c r="R69">
        <v>1318.7954623455737</v>
      </c>
      <c r="S69">
        <v>1427.6418228666305</v>
      </c>
      <c r="T69">
        <v>1658.2205109252577</v>
      </c>
    </row>
    <row r="70" spans="1:20" x14ac:dyDescent="0.3">
      <c r="A70">
        <v>-0.31</v>
      </c>
      <c r="B70">
        <v>155.03034507221841</v>
      </c>
      <c r="C70">
        <v>231.13381372996997</v>
      </c>
      <c r="D70">
        <v>402.95326267741484</v>
      </c>
      <c r="Q70">
        <v>-0.31</v>
      </c>
      <c r="R70">
        <v>1371.807941547346</v>
      </c>
      <c r="S70">
        <v>1486.5368822164719</v>
      </c>
      <c r="T70">
        <v>1729.9624401852784</v>
      </c>
    </row>
    <row r="71" spans="1:20" x14ac:dyDescent="0.3">
      <c r="A71">
        <v>-0.3</v>
      </c>
      <c r="B71">
        <v>162.28061508101445</v>
      </c>
      <c r="C71">
        <v>242.4709141330836</v>
      </c>
      <c r="D71">
        <v>424.23903971788434</v>
      </c>
      <c r="Q71">
        <v>-0.3</v>
      </c>
      <c r="R71">
        <v>1428.7156200686297</v>
      </c>
      <c r="S71">
        <v>1549.8528017696799</v>
      </c>
      <c r="T71">
        <v>1807.298101521862</v>
      </c>
    </row>
    <row r="72" spans="1:20" x14ac:dyDescent="0.3">
      <c r="A72">
        <v>-0.28999999999999998</v>
      </c>
      <c r="B72">
        <v>170.18387552595794</v>
      </c>
      <c r="C72">
        <v>254.86162298843399</v>
      </c>
      <c r="D72">
        <v>447.59474373945613</v>
      </c>
      <c r="Q72">
        <v>-0.28999999999999998</v>
      </c>
      <c r="R72">
        <v>1489.9678473449662</v>
      </c>
      <c r="S72">
        <v>1618.108080260223</v>
      </c>
      <c r="T72">
        <v>1890.9017236429991</v>
      </c>
    </row>
    <row r="73" spans="1:20" x14ac:dyDescent="0.3">
      <c r="A73">
        <v>-0.28000000000000003</v>
      </c>
      <c r="B73">
        <v>178.83229346202933</v>
      </c>
      <c r="C73">
        <v>268.45723942122515</v>
      </c>
      <c r="D73">
        <v>473.32409913596513</v>
      </c>
      <c r="Q73">
        <v>-0.28000000000000003</v>
      </c>
      <c r="R73">
        <v>1556.0846786438879</v>
      </c>
      <c r="S73">
        <v>1691.9032244324546</v>
      </c>
      <c r="T73">
        <v>1981.5569012591266</v>
      </c>
    </row>
    <row r="74" spans="1:20" x14ac:dyDescent="0.3">
      <c r="A74">
        <v>-0.27</v>
      </c>
      <c r="B74">
        <v>188.33549628322126</v>
      </c>
      <c r="C74">
        <v>283.43825945669528</v>
      </c>
      <c r="D74">
        <v>501.78953507048459</v>
      </c>
      <c r="Q74">
        <v>-0.27</v>
      </c>
      <c r="R74">
        <v>1627.6708162088303</v>
      </c>
      <c r="S74">
        <v>1771.9383946394487</v>
      </c>
      <c r="T74">
        <v>2080.1810912559667</v>
      </c>
    </row>
    <row r="75" spans="1:20" x14ac:dyDescent="0.3">
      <c r="A75">
        <v>-0.26</v>
      </c>
      <c r="B75">
        <v>198.82523932855204</v>
      </c>
      <c r="C75">
        <v>300.02193007320272</v>
      </c>
      <c r="D75">
        <v>533.42726019936015</v>
      </c>
      <c r="Q75">
        <v>-0.26</v>
      </c>
      <c r="R75">
        <v>1705.4336446166753</v>
      </c>
      <c r="S75">
        <v>1859.0346823272928</v>
      </c>
      <c r="T75">
        <v>2187.8512537127922</v>
      </c>
    </row>
    <row r="76" spans="1:20" x14ac:dyDescent="0.3">
      <c r="A76">
        <v>-0.25</v>
      </c>
      <c r="B76">
        <v>210.46100715302052</v>
      </c>
      <c r="C76">
        <v>318.47106623011234</v>
      </c>
      <c r="D76">
        <v>568.76616485798706</v>
      </c>
      <c r="Q76">
        <v>-0.25</v>
      </c>
      <c r="R76">
        <v>1790.2053980978003</v>
      </c>
      <c r="S76">
        <v>1954.1587336730292</v>
      </c>
      <c r="T76">
        <v>2305.8443305199498</v>
      </c>
    </row>
    <row r="77" spans="1:20" x14ac:dyDescent="0.3">
      <c r="A77">
        <v>-0.24</v>
      </c>
      <c r="B77">
        <v>223.43722054060063</v>
      </c>
      <c r="C77">
        <v>339.10714629680024</v>
      </c>
      <c r="D77">
        <v>608.45145753164593</v>
      </c>
      <c r="Q77">
        <v>-0.24</v>
      </c>
      <c r="R77">
        <v>1882.972472256555</v>
      </c>
      <c r="S77">
        <v>2058.4596827746295</v>
      </c>
      <c r="T77">
        <v>2435.6797106204599</v>
      </c>
    </row>
    <row r="78" spans="1:20" x14ac:dyDescent="0.3">
      <c r="A78">
        <v>-0.23</v>
      </c>
      <c r="B78">
        <v>237.99353629404479</v>
      </c>
      <c r="C78">
        <v>362.32580804366762</v>
      </c>
      <c r="D78">
        <v>653.27722303413623</v>
      </c>
      <c r="Q78">
        <v>-0.23</v>
      </c>
      <c r="R78">
        <v>1984.9105469256053</v>
      </c>
      <c r="S78">
        <v>2173.3111579134397</v>
      </c>
      <c r="T78">
        <v>2579.1828358968464</v>
      </c>
    </row>
    <row r="79" spans="1:20" x14ac:dyDescent="0.3">
      <c r="A79">
        <v>-0.22</v>
      </c>
      <c r="B79">
        <v>254.42785329341845</v>
      </c>
      <c r="C79">
        <v>388.61913957674034</v>
      </c>
      <c r="D79">
        <v>704.23090145226968</v>
      </c>
      <c r="Q79">
        <v>-0.22</v>
      </c>
      <c r="R79">
        <v>2097.4333893040557</v>
      </c>
      <c r="S79">
        <v>2300.3680828112324</v>
      </c>
      <c r="T79">
        <v>2738.5635848071679</v>
      </c>
    </row>
    <row r="80" spans="1:20" x14ac:dyDescent="0.3">
      <c r="A80">
        <v>-0.21</v>
      </c>
      <c r="B80">
        <v>273.11544484599682</v>
      </c>
      <c r="C80">
        <v>418.60708132462031</v>
      </c>
      <c r="D80">
        <v>762.54952426152465</v>
      </c>
      <c r="Q80">
        <v>-0.21</v>
      </c>
      <c r="R80">
        <v>2222.2545905010111</v>
      </c>
      <c r="S80">
        <v>2441.64164727245</v>
      </c>
      <c r="T80">
        <v>2916.5160775058425</v>
      </c>
    </row>
    <row r="81" spans="1:20" x14ac:dyDescent="0.3">
      <c r="A81">
        <v>-0.2</v>
      </c>
      <c r="B81">
        <v>294.53299109122707</v>
      </c>
      <c r="C81">
        <v>453.07596394010892</v>
      </c>
      <c r="D81">
        <v>829.801113247123</v>
      </c>
      <c r="Q81">
        <v>-0.2</v>
      </c>
      <c r="R81">
        <v>2361.4712432918213</v>
      </c>
      <c r="S81">
        <v>2599.5995962742809</v>
      </c>
      <c r="T81">
        <v>3116.3648767019117</v>
      </c>
    </row>
    <row r="82" spans="1:20" x14ac:dyDescent="0.3">
      <c r="A82">
        <v>-0.19</v>
      </c>
      <c r="B82">
        <v>319.29577742478659</v>
      </c>
      <c r="C82">
        <v>493.03914617285062</v>
      </c>
      <c r="D82">
        <v>907.99593578811857</v>
      </c>
      <c r="Q82">
        <v>-0.19</v>
      </c>
      <c r="R82">
        <v>2517.673685033888</v>
      </c>
      <c r="S82">
        <v>2777.300251804922</v>
      </c>
      <c r="T82">
        <v>3342.2467231032556</v>
      </c>
    </row>
    <row r="83" spans="1:20" x14ac:dyDescent="0.3">
      <c r="A83">
        <v>-0.18</v>
      </c>
      <c r="B83">
        <v>348.20810670682499</v>
      </c>
      <c r="C83">
        <v>539.8158271172482</v>
      </c>
      <c r="D83">
        <v>999.74211936303516</v>
      </c>
      <c r="Q83">
        <v>-0.18</v>
      </c>
      <c r="R83">
        <v>2694.099343081713</v>
      </c>
      <c r="S83">
        <v>2978.5774426380717</v>
      </c>
      <c r="T83">
        <v>3599.3760222414462</v>
      </c>
    </row>
    <row r="84" spans="1:20" x14ac:dyDescent="0.3">
      <c r="A84">
        <v>-0.17</v>
      </c>
      <c r="B84">
        <v>382.33803130734822</v>
      </c>
      <c r="C84">
        <v>595.15536023072775</v>
      </c>
      <c r="D84">
        <v>1108.4687483210732</v>
      </c>
      <c r="Q84">
        <v>-0.17</v>
      </c>
      <c r="R84">
        <v>2894.8433409713139</v>
      </c>
      <c r="S84">
        <v>3208.2948500159378</v>
      </c>
      <c r="T84">
        <v>3894.4032522062562</v>
      </c>
    </row>
    <row r="85" spans="1:20" x14ac:dyDescent="0.3">
      <c r="A85">
        <v>-0.16</v>
      </c>
      <c r="B85">
        <v>423.12912653293159</v>
      </c>
      <c r="C85">
        <v>661.40642149773691</v>
      </c>
      <c r="D85">
        <v>1238.755906677412</v>
      </c>
      <c r="Q85">
        <v>-0.16</v>
      </c>
      <c r="R85">
        <v>3125.1570682262154</v>
      </c>
      <c r="S85">
        <v>3472.7155848804114</v>
      </c>
      <c r="T85">
        <v>4235.9414143851282</v>
      </c>
    </row>
    <row r="86" spans="1:20" x14ac:dyDescent="0.3">
      <c r="A86">
        <v>-0.15</v>
      </c>
      <c r="B86">
        <v>472.56712974407122</v>
      </c>
      <c r="C86">
        <v>741.7846250297705</v>
      </c>
      <c r="D86">
        <v>1396.8179052585833</v>
      </c>
      <c r="Q86">
        <v>-0.15</v>
      </c>
      <c r="R86">
        <v>3391.8826825073529</v>
      </c>
      <c r="S86">
        <v>3780.0243712337688</v>
      </c>
      <c r="T86">
        <v>4635.3125998450496</v>
      </c>
    </row>
    <row r="87" spans="1:20" x14ac:dyDescent="0.3">
      <c r="A87">
        <v>-0.14000000000000001</v>
      </c>
      <c r="B87">
        <v>533.44695613225781</v>
      </c>
      <c r="C87">
        <v>840.7723739216259</v>
      </c>
      <c r="D87">
        <v>1591.2564199726</v>
      </c>
      <c r="Q87">
        <v>-0.14000000000000001</v>
      </c>
      <c r="R87">
        <v>3704.0860951806035</v>
      </c>
      <c r="S87">
        <v>4141.112524884199</v>
      </c>
      <c r="T87">
        <v>5107.6899590841022</v>
      </c>
    </row>
    <row r="88" spans="1:20" x14ac:dyDescent="0.3">
      <c r="A88">
        <v>-0.13</v>
      </c>
      <c r="B88">
        <v>609.79038696002988</v>
      </c>
      <c r="C88">
        <v>964.76819195755513</v>
      </c>
      <c r="D88">
        <v>1834.1970290388458</v>
      </c>
      <c r="Q88">
        <v>-0.13</v>
      </c>
      <c r="R88">
        <v>4074.0215946997037</v>
      </c>
      <c r="S88">
        <v>4570.7713574262698</v>
      </c>
      <c r="T88">
        <v>5673.8066339207426</v>
      </c>
    </row>
    <row r="89" spans="1:20" x14ac:dyDescent="0.3">
      <c r="A89">
        <v>-0.12</v>
      </c>
      <c r="B89">
        <v>707.53283255259453</v>
      </c>
      <c r="C89">
        <v>1123.1127434268335</v>
      </c>
      <c r="D89">
        <v>2143.2025427068293</v>
      </c>
      <c r="Q89">
        <v>-0.12</v>
      </c>
      <c r="R89">
        <v>4518.6401807087996</v>
      </c>
      <c r="S89">
        <v>5089.5455419409936</v>
      </c>
      <c r="T89">
        <v>6362.688889025133</v>
      </c>
    </row>
    <row r="90" spans="1:20" x14ac:dyDescent="0.3">
      <c r="A90">
        <v>-0.11</v>
      </c>
      <c r="B90">
        <v>835.70043810688708</v>
      </c>
      <c r="C90">
        <v>1329.8259783448805</v>
      </c>
      <c r="D90">
        <v>2544.3721820895439</v>
      </c>
      <c r="Q90">
        <v>-0.11</v>
      </c>
      <c r="R90">
        <v>5062.0157684387996</v>
      </c>
      <c r="S90">
        <v>5726.773875210456</v>
      </c>
      <c r="T90">
        <v>7216.1084941094905</v>
      </c>
    </row>
    <row r="91" spans="1:20" x14ac:dyDescent="0.3">
      <c r="A91">
        <v>-0.1</v>
      </c>
      <c r="B91">
        <v>1008.5091076076015</v>
      </c>
      <c r="C91">
        <v>1606.7484635963986</v>
      </c>
      <c r="D91">
        <v>3078.2931571737981</v>
      </c>
      <c r="Q91">
        <v>-0.1</v>
      </c>
      <c r="R91">
        <v>5739.4126534676789</v>
      </c>
      <c r="S91">
        <v>6525.6668612863732</v>
      </c>
      <c r="T91">
        <v>8296.1065895453612</v>
      </c>
    </row>
    <row r="92" spans="1:20" x14ac:dyDescent="0.3">
      <c r="A92">
        <v>-0.09</v>
      </c>
      <c r="B92">
        <v>1249.016584871785</v>
      </c>
      <c r="C92">
        <v>1988.8804689764847</v>
      </c>
      <c r="D92">
        <v>3807.7798023528921</v>
      </c>
      <c r="Q92">
        <v>-0.09</v>
      </c>
      <c r="R92">
        <v>6604.4558527256895</v>
      </c>
      <c r="S92">
        <v>7552.3240790469135</v>
      </c>
      <c r="T92">
        <v>9698.5208143870259</v>
      </c>
    </row>
    <row r="93" spans="1:20" x14ac:dyDescent="0.3">
      <c r="A93">
        <v>-0.08</v>
      </c>
      <c r="B93">
        <v>1596.867041105882</v>
      </c>
      <c r="C93">
        <v>2535.5135718752977</v>
      </c>
      <c r="D93">
        <v>4841.2517827242709</v>
      </c>
      <c r="Q93">
        <v>-0.08</v>
      </c>
      <c r="R93">
        <v>7742.4362733387297</v>
      </c>
      <c r="S93">
        <v>8912.6162927613459</v>
      </c>
      <c r="T93">
        <v>11578.322541423469</v>
      </c>
    </row>
    <row r="94" spans="1:20" x14ac:dyDescent="0.3">
      <c r="A94">
        <v>-7.0000000000000007E-2</v>
      </c>
      <c r="B94">
        <v>2123.4073568208191</v>
      </c>
      <c r="C94">
        <v>3352.52529367539</v>
      </c>
      <c r="D94">
        <v>6368.8960235640379</v>
      </c>
      <c r="Q94">
        <v>-7.0000000000000007E-2</v>
      </c>
      <c r="R94">
        <v>9296.8019303963101</v>
      </c>
      <c r="S94">
        <v>10785.895190479567</v>
      </c>
      <c r="T94">
        <v>14201.085565523825</v>
      </c>
    </row>
    <row r="95" spans="1:20" x14ac:dyDescent="0.3">
      <c r="A95">
        <v>-0.06</v>
      </c>
      <c r="B95">
        <v>2966.9763198684436</v>
      </c>
      <c r="C95">
        <v>4643.4949991265921</v>
      </c>
      <c r="D95">
        <v>8754.4835559546627</v>
      </c>
      <c r="Q95">
        <v>-0.06</v>
      </c>
      <c r="R95">
        <v>11526.590469879911</v>
      </c>
      <c r="S95">
        <v>13498.846000930593</v>
      </c>
      <c r="T95">
        <v>18056.353090417451</v>
      </c>
    </row>
    <row r="96" spans="1:20" x14ac:dyDescent="0.3">
      <c r="A96">
        <v>-0.05</v>
      </c>
      <c r="B96">
        <v>4422.5666444810349</v>
      </c>
      <c r="C96">
        <v>6839.7528033628323</v>
      </c>
      <c r="D96">
        <v>12765.085618773166</v>
      </c>
      <c r="Q96">
        <v>-0.05</v>
      </c>
      <c r="R96">
        <v>14945.47819512742</v>
      </c>
      <c r="S96">
        <v>17705.522380915791</v>
      </c>
      <c r="T96">
        <v>24137.71244033915</v>
      </c>
    </row>
    <row r="97" spans="1:20" x14ac:dyDescent="0.3">
      <c r="A97">
        <v>-0.04</v>
      </c>
      <c r="B97">
        <v>7208.0635635826739</v>
      </c>
      <c r="C97">
        <v>10985.66064803367</v>
      </c>
      <c r="D97">
        <v>20247.940552651125</v>
      </c>
      <c r="Q97">
        <v>-0.04</v>
      </c>
      <c r="R97">
        <v>20712.83834018388</v>
      </c>
      <c r="S97">
        <v>24898.723356866773</v>
      </c>
      <c r="T97">
        <v>34747.649735736777</v>
      </c>
    </row>
    <row r="98" spans="1:20" x14ac:dyDescent="0.3">
      <c r="A98">
        <v>-0.03</v>
      </c>
      <c r="B98">
        <v>13453.746187489905</v>
      </c>
      <c r="C98">
        <v>20164.19345684236</v>
      </c>
      <c r="D98">
        <v>36632.107630522172</v>
      </c>
      <c r="Q98">
        <v>-0.03</v>
      </c>
      <c r="R98">
        <v>31999.291150360725</v>
      </c>
      <c r="S98">
        <v>39214.93213743798</v>
      </c>
      <c r="T98">
        <v>56378.366534996458</v>
      </c>
    </row>
    <row r="99" spans="1:20" x14ac:dyDescent="0.3">
      <c r="A99">
        <v>-0.02</v>
      </c>
      <c r="B99">
        <v>31939.436028419805</v>
      </c>
      <c r="C99">
        <v>47019.126328279264</v>
      </c>
      <c r="D99">
        <v>84062.726862938871</v>
      </c>
      <c r="Q99">
        <v>-0.02</v>
      </c>
      <c r="R99">
        <v>60737.3319085111</v>
      </c>
      <c r="S99">
        <v>76477.378697624226</v>
      </c>
      <c r="T99">
        <v>114375.548205983</v>
      </c>
    </row>
    <row r="100" spans="1:20" x14ac:dyDescent="0.3">
      <c r="A100">
        <v>-0.01</v>
      </c>
      <c r="B100">
        <v>135241.37661162578</v>
      </c>
      <c r="C100">
        <v>195518.29010127464</v>
      </c>
      <c r="D100">
        <v>343684.99942628277</v>
      </c>
      <c r="Q100">
        <v>-0.01</v>
      </c>
      <c r="R100">
        <v>195424.98202696646</v>
      </c>
      <c r="S100">
        <v>256620.32645845617</v>
      </c>
      <c r="T100">
        <v>405852.4377522521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One-Sample</vt:lpstr>
      <vt:lpstr>Two-Sample</vt:lpstr>
      <vt:lpstr>Correlation</vt:lpstr>
      <vt:lpstr>PaperSummatedData</vt:lpstr>
      <vt:lpstr>CorrelationSummary</vt:lpstr>
      <vt:lpstr>Examplencurves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Isambard761</dc:creator>
  <cp:lastModifiedBy>Night Owl</cp:lastModifiedBy>
  <dcterms:created xsi:type="dcterms:W3CDTF">2017-03-04T08:32:33Z</dcterms:created>
  <dcterms:modified xsi:type="dcterms:W3CDTF">2023-01-18T15:09:48Z</dcterms:modified>
</cp:coreProperties>
</file>